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707" tabRatio="500"/>
  </bookViews>
  <sheets>
    <sheet name="Sheet1" sheetId="3" r:id="rId1"/>
    <sheet name="Employee Data" sheetId="1" r:id="rId2"/>
    <sheet name="Answer Key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D6" authorId="0">
      <text>
        <r>
          <rPr>
            <sz val="10"/>
            <rFont val="Arial"/>
            <charset val="134"/>
          </rPr>
          <t>Attrition Rate = Employees who left / Total headcount in that group. Your PivotTable should show these same % when you set Attrition Count with 'Show Values As &gt; % of Row Total'.</t>
        </r>
      </text>
    </comment>
  </commentList>
</comments>
</file>

<file path=xl/sharedStrings.xml><?xml version="1.0" encoding="utf-8"?>
<sst xmlns="http://schemas.openxmlformats.org/spreadsheetml/2006/main" count="1302" uniqueCount="63">
  <si>
    <t>Attrition</t>
  </si>
  <si>
    <t>Yes</t>
  </si>
  <si>
    <t>Department</t>
  </si>
  <si>
    <t>Count of Attrition</t>
  </si>
  <si>
    <t>Count of Attrition2</t>
  </si>
  <si>
    <t>Sum of Attrition Rate = Attrition_Count / Headcount_Count</t>
  </si>
  <si>
    <t>Customer Support</t>
  </si>
  <si>
    <t>Engineering</t>
  </si>
  <si>
    <t>Finance</t>
  </si>
  <si>
    <t>HR</t>
  </si>
  <si>
    <t>Operations</t>
  </si>
  <si>
    <t>Sales</t>
  </si>
  <si>
    <t>Grand Total</t>
  </si>
  <si>
    <t>Employee ID</t>
  </si>
  <si>
    <t>Job Role</t>
  </si>
  <si>
    <t>Age</t>
  </si>
  <si>
    <t>Gender</t>
  </si>
  <si>
    <t>Tenure (Years)</t>
  </si>
  <si>
    <t>Tenure Band</t>
  </si>
  <si>
    <t>Salary Band</t>
  </si>
  <si>
    <t>Performance Rating</t>
  </si>
  <si>
    <t>OverTime</t>
  </si>
  <si>
    <t>Reason for Leaving</t>
  </si>
  <si>
    <t>Note: Tenure Band is a live formula column — this is what lets you drag a clean</t>
  </si>
  <si>
    <t>Sales Lead</t>
  </si>
  <si>
    <t>Female</t>
  </si>
  <si>
    <t>Medium</t>
  </si>
  <si>
    <t>Management Issues</t>
  </si>
  <si>
    <t>categorical field into a PivotTable instead of grouping raw decimal years manually.</t>
  </si>
  <si>
    <t>Low</t>
  </si>
  <si>
    <t>No</t>
  </si>
  <si>
    <t>Compensation</t>
  </si>
  <si>
    <t>Sales Rep</t>
  </si>
  <si>
    <t>Account Manager</t>
  </si>
  <si>
    <t>Male</t>
  </si>
  <si>
    <t>Work-Life Balance</t>
  </si>
  <si>
    <t>Relocation</t>
  </si>
  <si>
    <t>High</t>
  </si>
  <si>
    <t>Career Growth</t>
  </si>
  <si>
    <t>Better Offer</t>
  </si>
  <si>
    <t>QA Engineer</t>
  </si>
  <si>
    <t>DevOps Engineer</t>
  </si>
  <si>
    <t>Software Engineer</t>
  </si>
  <si>
    <t>Support Team Lead</t>
  </si>
  <si>
    <t>Support Agent</t>
  </si>
  <si>
    <t>Ops Analyst</t>
  </si>
  <si>
    <t>Ops Manager</t>
  </si>
  <si>
    <t>Financial Analyst</t>
  </si>
  <si>
    <t>Accountant</t>
  </si>
  <si>
    <t>HR Generalist</t>
  </si>
  <si>
    <t>Recruiter</t>
  </si>
  <si>
    <t>Expected PivotTable Results (Answer Key)</t>
  </si>
  <si>
    <t>Built independently with COUNTIFS — use this to verify your PivotTable numbers match.</t>
  </si>
  <si>
    <t>Attrition Rate by Department</t>
  </si>
  <si>
    <t>Headcount</t>
  </si>
  <si>
    <t>Left</t>
  </si>
  <si>
    <t>Attrition Rate</t>
  </si>
  <si>
    <t>Attrition Rate by Tenure Band</t>
  </si>
  <si>
    <t>0-1 yrs</t>
  </si>
  <si>
    <t>1-3 yrs</t>
  </si>
  <si>
    <t>3-7 yrs</t>
  </si>
  <si>
    <t>7+ yrs</t>
  </si>
  <si>
    <t>Attrition Rate by OverTime 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</si>
</sst>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</numFmts>
  <fonts count="27">
    <font>
      <sz val="11"/>
      <color theme="1"/>
      <name val="Calibri"/>
      <charset val="1"/>
    </font>
    <font>
      <b/>
      <sz val="16"/>
      <color rgb="FF1F4E78"/>
      <name val="Arial"/>
      <charset val="1"/>
    </font>
    <font>
      <i/>
      <sz val="10"/>
      <color rgb="FF666666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0" borderId="1" xfId="0" applyFont="1" applyBorder="1"/>
    <xf numFmtId="176" fontId="0" fillId="0" borderId="1" xfId="0" applyNumberFormat="1" applyBorder="1"/>
    <xf numFmtId="0" fontId="0" fillId="0" borderId="0" xfId="0" applyFont="1"/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0.9148032407" refreshedBy="taiwo" recordCount="196">
  <cacheSource type="worksheet">
    <worksheetSource name="EmployeeData"/>
  </cacheSource>
  <cacheFields count="13">
    <cacheField name="Employee ID" numFmtId="0">
      <sharedItems containsSemiMixedTypes="0" containsString="0" containsNumber="1" containsInteger="1" minValue="1001" maxValue="1196" count="196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</sharedItems>
    </cacheField>
    <cacheField name="Department" numFmtId="0">
      <sharedItems count="6">
        <s v="Sales"/>
        <s v="Engineering"/>
        <s v="Customer Support"/>
        <s v="Operations"/>
        <s v="Finance"/>
        <s v="HR"/>
      </sharedItems>
    </cacheField>
    <cacheField name="Job Role" numFmtId="0">
      <sharedItems count="14">
        <s v="Sales Lead"/>
        <s v="Sales Rep"/>
        <s v="Account Manager"/>
        <s v="QA Engineer"/>
        <s v="DevOps Engineer"/>
        <s v="Software Engineer"/>
        <s v="Support Team Lead"/>
        <s v="Support Agent"/>
        <s v="Ops Analyst"/>
        <s v="Ops Manager"/>
        <s v="Financial Analyst"/>
        <s v="Accountant"/>
        <s v="HR Generalist"/>
        <s v="Recruiter"/>
      </sharedItems>
    </cacheField>
    <cacheField name="Age" numFmtId="0">
      <sharedItems containsSemiMixedTypes="0" containsString="0" containsNumber="1" containsInteger="1" minValue="22" maxValue="58" count="37">
        <n v="57"/>
        <n v="24"/>
        <n v="42"/>
        <n v="27"/>
        <n v="22"/>
        <n v="43"/>
        <n v="34"/>
        <n v="58"/>
        <n v="37"/>
        <n v="26"/>
        <n v="30"/>
        <n v="56"/>
        <n v="45"/>
        <n v="49"/>
        <n v="32"/>
        <n v="55"/>
        <n v="29"/>
        <n v="52"/>
        <n v="35"/>
        <n v="23"/>
        <n v="38"/>
        <n v="28"/>
        <n v="47"/>
        <n v="25"/>
        <n v="48"/>
        <n v="44"/>
        <n v="31"/>
        <n v="53"/>
        <n v="51"/>
        <n v="41"/>
        <n v="46"/>
        <n v="40"/>
        <n v="50"/>
        <n v="33"/>
        <n v="39"/>
        <n v="54"/>
        <n v="36"/>
      </sharedItems>
    </cacheField>
    <cacheField name="Gender" numFmtId="0">
      <sharedItems count="2">
        <s v="Female"/>
        <s v="Male"/>
      </sharedItems>
    </cacheField>
    <cacheField name="Tenure (Years)" numFmtId="0">
      <sharedItems containsSemiMixedTypes="0" containsString="0" containsNumber="1" minValue="0" maxValue="14.8" count="81">
        <n v="2.7"/>
        <n v="1"/>
        <n v="0.6"/>
        <n v="4.2"/>
        <n v="2.8"/>
        <n v="0.4"/>
        <n v="4.8"/>
        <n v="1.9"/>
        <n v="2.3"/>
        <n v="0.3"/>
        <n v="2.4"/>
        <n v="7"/>
        <n v="0.5"/>
        <n v="2.2"/>
        <n v="0.9"/>
        <n v="3.9"/>
        <n v="1.6"/>
        <n v="13.4"/>
        <n v="2"/>
        <n v="7.7"/>
        <n v="9.5"/>
        <n v="11.1"/>
        <n v="1.5"/>
        <n v="3.1"/>
        <n v="6.4"/>
        <n v="0.1"/>
        <n v="0.2"/>
        <n v="1.1"/>
        <n v="9.1"/>
        <n v="0.8"/>
        <n v="2.9"/>
        <n v="2.1"/>
        <n v="1.3"/>
        <n v="5.1"/>
        <n v="5.3"/>
        <n v="0"/>
        <n v="4.4"/>
        <n v="6.2"/>
        <n v="3.3"/>
        <n v="11.8"/>
        <n v="6.6"/>
        <n v="0.7"/>
        <n v="2.6"/>
        <n v="1.7"/>
        <n v="14.1"/>
        <n v="1.8"/>
        <n v="6"/>
        <n v="6.9"/>
        <n v="5.5"/>
        <n v="12.7"/>
        <n v="12.8"/>
        <n v="11"/>
        <n v="5.8"/>
        <n v="8.3"/>
        <n v="11.2"/>
        <n v="4.7"/>
        <n v="2.5"/>
        <n v="4.9"/>
        <n v="4.5"/>
        <n v="3.2"/>
        <n v="6.5"/>
        <n v="10.1"/>
        <n v="4.3"/>
        <n v="14.5"/>
        <n v="7.9"/>
        <n v="14"/>
        <n v="3.7"/>
        <n v="4"/>
        <n v="1.4"/>
        <n v="14.8"/>
        <n v="6.1"/>
        <n v="11.9"/>
        <n v="10.9"/>
        <n v="9.9"/>
        <n v="6.3"/>
        <n v="8.7"/>
        <n v="3.4"/>
        <n v="11.6"/>
        <n v="5"/>
        <n v="5.2"/>
        <n v="7.3"/>
      </sharedItems>
    </cacheField>
    <cacheField name="Tenure Band" numFmtId="0">
      <sharedItems count="4">
        <s v="1-3 yrs"/>
        <s v="0-1 yrs"/>
        <s v="3-7 yrs"/>
        <s v="7+ yrs"/>
      </sharedItems>
    </cacheField>
    <cacheField name="Salary Band" numFmtId="0">
      <sharedItems count="3">
        <s v="Medium"/>
        <s v="Low"/>
        <s v="High"/>
      </sharedItems>
    </cacheField>
    <cacheField name="Performance Rating" numFmtId="0">
      <sharedItems containsSemiMixedTypes="0" containsString="0" containsNumber="1" containsInteger="1" minValue="1" maxValue="5" count="5">
        <n v="2"/>
        <n v="1"/>
        <n v="3"/>
        <n v="5"/>
        <n v="4"/>
      </sharedItems>
    </cacheField>
    <cacheField name="OverTime" numFmtId="0">
      <sharedItems count="2">
        <s v="Yes"/>
        <s v="No"/>
      </sharedItems>
    </cacheField>
    <cacheField name="Attrition" numFmtId="0">
      <sharedItems count="2">
        <s v="Yes"/>
        <s v="No"/>
      </sharedItems>
    </cacheField>
    <cacheField name="Reason for Leaving" numFmtId="0">
      <sharedItems containsBlank="1" count="7">
        <s v="Management Issues"/>
        <s v="Compensation"/>
        <m/>
        <s v="Work-Life Balance"/>
        <s v="Relocation"/>
        <s v="Career Growth"/>
        <s v="Better Offer"/>
      </sharedItems>
    </cacheField>
    <cacheField name="Attrition Rate = Attrition_Count / Headcount_Count" numFmtId="0" formula="0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6">
  <r>
    <x v="0"/>
    <x v="0"/>
    <x v="0"/>
    <x v="0"/>
    <x v="0"/>
    <x v="0"/>
    <x v="0"/>
    <x v="0"/>
    <x v="0"/>
    <x v="0"/>
    <x v="0"/>
    <x v="0"/>
  </r>
  <r>
    <x v="1"/>
    <x v="0"/>
    <x v="0"/>
    <x v="1"/>
    <x v="0"/>
    <x v="1"/>
    <x v="0"/>
    <x v="1"/>
    <x v="1"/>
    <x v="1"/>
    <x v="0"/>
    <x v="1"/>
  </r>
  <r>
    <x v="2"/>
    <x v="0"/>
    <x v="1"/>
    <x v="2"/>
    <x v="0"/>
    <x v="2"/>
    <x v="1"/>
    <x v="0"/>
    <x v="2"/>
    <x v="1"/>
    <x v="1"/>
    <x v="2"/>
  </r>
  <r>
    <x v="3"/>
    <x v="0"/>
    <x v="2"/>
    <x v="3"/>
    <x v="0"/>
    <x v="3"/>
    <x v="2"/>
    <x v="1"/>
    <x v="2"/>
    <x v="0"/>
    <x v="0"/>
    <x v="0"/>
  </r>
  <r>
    <x v="4"/>
    <x v="0"/>
    <x v="1"/>
    <x v="4"/>
    <x v="1"/>
    <x v="4"/>
    <x v="0"/>
    <x v="0"/>
    <x v="2"/>
    <x v="1"/>
    <x v="0"/>
    <x v="3"/>
  </r>
  <r>
    <x v="5"/>
    <x v="0"/>
    <x v="1"/>
    <x v="5"/>
    <x v="1"/>
    <x v="1"/>
    <x v="0"/>
    <x v="0"/>
    <x v="2"/>
    <x v="1"/>
    <x v="0"/>
    <x v="4"/>
  </r>
  <r>
    <x v="6"/>
    <x v="0"/>
    <x v="0"/>
    <x v="6"/>
    <x v="1"/>
    <x v="5"/>
    <x v="1"/>
    <x v="1"/>
    <x v="3"/>
    <x v="0"/>
    <x v="0"/>
    <x v="4"/>
  </r>
  <r>
    <x v="7"/>
    <x v="0"/>
    <x v="2"/>
    <x v="7"/>
    <x v="1"/>
    <x v="6"/>
    <x v="2"/>
    <x v="0"/>
    <x v="0"/>
    <x v="0"/>
    <x v="1"/>
    <x v="2"/>
  </r>
  <r>
    <x v="8"/>
    <x v="0"/>
    <x v="2"/>
    <x v="4"/>
    <x v="0"/>
    <x v="7"/>
    <x v="0"/>
    <x v="1"/>
    <x v="0"/>
    <x v="1"/>
    <x v="1"/>
    <x v="2"/>
  </r>
  <r>
    <x v="9"/>
    <x v="0"/>
    <x v="2"/>
    <x v="8"/>
    <x v="1"/>
    <x v="8"/>
    <x v="0"/>
    <x v="0"/>
    <x v="2"/>
    <x v="0"/>
    <x v="0"/>
    <x v="3"/>
  </r>
  <r>
    <x v="10"/>
    <x v="0"/>
    <x v="0"/>
    <x v="8"/>
    <x v="0"/>
    <x v="9"/>
    <x v="1"/>
    <x v="2"/>
    <x v="0"/>
    <x v="1"/>
    <x v="1"/>
    <x v="2"/>
  </r>
  <r>
    <x v="11"/>
    <x v="0"/>
    <x v="1"/>
    <x v="9"/>
    <x v="0"/>
    <x v="4"/>
    <x v="0"/>
    <x v="1"/>
    <x v="2"/>
    <x v="0"/>
    <x v="0"/>
    <x v="5"/>
  </r>
  <r>
    <x v="12"/>
    <x v="0"/>
    <x v="1"/>
    <x v="3"/>
    <x v="0"/>
    <x v="7"/>
    <x v="0"/>
    <x v="0"/>
    <x v="3"/>
    <x v="1"/>
    <x v="0"/>
    <x v="3"/>
  </r>
  <r>
    <x v="13"/>
    <x v="0"/>
    <x v="1"/>
    <x v="1"/>
    <x v="1"/>
    <x v="2"/>
    <x v="1"/>
    <x v="1"/>
    <x v="4"/>
    <x v="1"/>
    <x v="1"/>
    <x v="2"/>
  </r>
  <r>
    <x v="14"/>
    <x v="0"/>
    <x v="1"/>
    <x v="10"/>
    <x v="0"/>
    <x v="10"/>
    <x v="0"/>
    <x v="2"/>
    <x v="4"/>
    <x v="1"/>
    <x v="1"/>
    <x v="2"/>
  </r>
  <r>
    <x v="15"/>
    <x v="0"/>
    <x v="2"/>
    <x v="4"/>
    <x v="1"/>
    <x v="11"/>
    <x v="3"/>
    <x v="2"/>
    <x v="4"/>
    <x v="1"/>
    <x v="1"/>
    <x v="2"/>
  </r>
  <r>
    <x v="16"/>
    <x v="0"/>
    <x v="0"/>
    <x v="11"/>
    <x v="1"/>
    <x v="12"/>
    <x v="1"/>
    <x v="1"/>
    <x v="4"/>
    <x v="1"/>
    <x v="0"/>
    <x v="6"/>
  </r>
  <r>
    <x v="17"/>
    <x v="0"/>
    <x v="2"/>
    <x v="12"/>
    <x v="0"/>
    <x v="13"/>
    <x v="0"/>
    <x v="0"/>
    <x v="2"/>
    <x v="1"/>
    <x v="0"/>
    <x v="0"/>
  </r>
  <r>
    <x v="18"/>
    <x v="0"/>
    <x v="2"/>
    <x v="13"/>
    <x v="1"/>
    <x v="14"/>
    <x v="1"/>
    <x v="0"/>
    <x v="3"/>
    <x v="0"/>
    <x v="0"/>
    <x v="3"/>
  </r>
  <r>
    <x v="19"/>
    <x v="0"/>
    <x v="2"/>
    <x v="14"/>
    <x v="1"/>
    <x v="15"/>
    <x v="2"/>
    <x v="0"/>
    <x v="4"/>
    <x v="1"/>
    <x v="1"/>
    <x v="2"/>
  </r>
  <r>
    <x v="20"/>
    <x v="0"/>
    <x v="2"/>
    <x v="2"/>
    <x v="1"/>
    <x v="16"/>
    <x v="0"/>
    <x v="1"/>
    <x v="4"/>
    <x v="0"/>
    <x v="0"/>
    <x v="1"/>
  </r>
  <r>
    <x v="21"/>
    <x v="0"/>
    <x v="1"/>
    <x v="6"/>
    <x v="1"/>
    <x v="17"/>
    <x v="3"/>
    <x v="0"/>
    <x v="4"/>
    <x v="1"/>
    <x v="1"/>
    <x v="2"/>
  </r>
  <r>
    <x v="22"/>
    <x v="0"/>
    <x v="0"/>
    <x v="9"/>
    <x v="1"/>
    <x v="18"/>
    <x v="0"/>
    <x v="1"/>
    <x v="2"/>
    <x v="1"/>
    <x v="1"/>
    <x v="2"/>
  </r>
  <r>
    <x v="23"/>
    <x v="0"/>
    <x v="0"/>
    <x v="15"/>
    <x v="1"/>
    <x v="19"/>
    <x v="3"/>
    <x v="0"/>
    <x v="2"/>
    <x v="0"/>
    <x v="1"/>
    <x v="2"/>
  </r>
  <r>
    <x v="24"/>
    <x v="0"/>
    <x v="2"/>
    <x v="4"/>
    <x v="0"/>
    <x v="8"/>
    <x v="0"/>
    <x v="0"/>
    <x v="2"/>
    <x v="1"/>
    <x v="1"/>
    <x v="2"/>
  </r>
  <r>
    <x v="25"/>
    <x v="0"/>
    <x v="2"/>
    <x v="16"/>
    <x v="1"/>
    <x v="20"/>
    <x v="3"/>
    <x v="1"/>
    <x v="4"/>
    <x v="0"/>
    <x v="1"/>
    <x v="2"/>
  </r>
  <r>
    <x v="26"/>
    <x v="0"/>
    <x v="1"/>
    <x v="1"/>
    <x v="0"/>
    <x v="9"/>
    <x v="1"/>
    <x v="0"/>
    <x v="1"/>
    <x v="1"/>
    <x v="0"/>
    <x v="5"/>
  </r>
  <r>
    <x v="27"/>
    <x v="0"/>
    <x v="2"/>
    <x v="17"/>
    <x v="1"/>
    <x v="4"/>
    <x v="0"/>
    <x v="0"/>
    <x v="4"/>
    <x v="1"/>
    <x v="1"/>
    <x v="2"/>
  </r>
  <r>
    <x v="28"/>
    <x v="0"/>
    <x v="2"/>
    <x v="0"/>
    <x v="0"/>
    <x v="21"/>
    <x v="3"/>
    <x v="1"/>
    <x v="2"/>
    <x v="1"/>
    <x v="1"/>
    <x v="2"/>
  </r>
  <r>
    <x v="29"/>
    <x v="0"/>
    <x v="0"/>
    <x v="18"/>
    <x v="0"/>
    <x v="14"/>
    <x v="1"/>
    <x v="1"/>
    <x v="1"/>
    <x v="0"/>
    <x v="0"/>
    <x v="6"/>
  </r>
  <r>
    <x v="30"/>
    <x v="0"/>
    <x v="0"/>
    <x v="15"/>
    <x v="0"/>
    <x v="12"/>
    <x v="1"/>
    <x v="0"/>
    <x v="3"/>
    <x v="1"/>
    <x v="0"/>
    <x v="5"/>
  </r>
  <r>
    <x v="31"/>
    <x v="0"/>
    <x v="2"/>
    <x v="17"/>
    <x v="0"/>
    <x v="7"/>
    <x v="0"/>
    <x v="1"/>
    <x v="2"/>
    <x v="0"/>
    <x v="0"/>
    <x v="0"/>
  </r>
  <r>
    <x v="32"/>
    <x v="0"/>
    <x v="0"/>
    <x v="19"/>
    <x v="1"/>
    <x v="22"/>
    <x v="0"/>
    <x v="0"/>
    <x v="2"/>
    <x v="1"/>
    <x v="1"/>
    <x v="2"/>
  </r>
  <r>
    <x v="33"/>
    <x v="0"/>
    <x v="0"/>
    <x v="20"/>
    <x v="1"/>
    <x v="23"/>
    <x v="2"/>
    <x v="1"/>
    <x v="2"/>
    <x v="1"/>
    <x v="1"/>
    <x v="2"/>
  </r>
  <r>
    <x v="34"/>
    <x v="0"/>
    <x v="2"/>
    <x v="15"/>
    <x v="1"/>
    <x v="24"/>
    <x v="2"/>
    <x v="2"/>
    <x v="2"/>
    <x v="0"/>
    <x v="1"/>
    <x v="2"/>
  </r>
  <r>
    <x v="35"/>
    <x v="1"/>
    <x v="3"/>
    <x v="6"/>
    <x v="1"/>
    <x v="25"/>
    <x v="1"/>
    <x v="0"/>
    <x v="4"/>
    <x v="0"/>
    <x v="1"/>
    <x v="2"/>
  </r>
  <r>
    <x v="36"/>
    <x v="1"/>
    <x v="4"/>
    <x v="19"/>
    <x v="1"/>
    <x v="26"/>
    <x v="1"/>
    <x v="0"/>
    <x v="2"/>
    <x v="1"/>
    <x v="1"/>
    <x v="2"/>
  </r>
  <r>
    <x v="37"/>
    <x v="1"/>
    <x v="5"/>
    <x v="9"/>
    <x v="0"/>
    <x v="27"/>
    <x v="0"/>
    <x v="1"/>
    <x v="0"/>
    <x v="0"/>
    <x v="0"/>
    <x v="3"/>
  </r>
  <r>
    <x v="38"/>
    <x v="1"/>
    <x v="3"/>
    <x v="21"/>
    <x v="1"/>
    <x v="10"/>
    <x v="0"/>
    <x v="0"/>
    <x v="2"/>
    <x v="1"/>
    <x v="0"/>
    <x v="0"/>
  </r>
  <r>
    <x v="39"/>
    <x v="1"/>
    <x v="5"/>
    <x v="1"/>
    <x v="1"/>
    <x v="26"/>
    <x v="1"/>
    <x v="1"/>
    <x v="4"/>
    <x v="0"/>
    <x v="0"/>
    <x v="0"/>
  </r>
  <r>
    <x v="40"/>
    <x v="1"/>
    <x v="4"/>
    <x v="22"/>
    <x v="1"/>
    <x v="28"/>
    <x v="3"/>
    <x v="0"/>
    <x v="0"/>
    <x v="1"/>
    <x v="0"/>
    <x v="3"/>
  </r>
  <r>
    <x v="41"/>
    <x v="1"/>
    <x v="3"/>
    <x v="11"/>
    <x v="0"/>
    <x v="29"/>
    <x v="1"/>
    <x v="1"/>
    <x v="0"/>
    <x v="1"/>
    <x v="1"/>
    <x v="2"/>
  </r>
  <r>
    <x v="42"/>
    <x v="1"/>
    <x v="5"/>
    <x v="23"/>
    <x v="1"/>
    <x v="30"/>
    <x v="0"/>
    <x v="0"/>
    <x v="2"/>
    <x v="1"/>
    <x v="1"/>
    <x v="2"/>
  </r>
  <r>
    <x v="43"/>
    <x v="1"/>
    <x v="3"/>
    <x v="16"/>
    <x v="0"/>
    <x v="1"/>
    <x v="0"/>
    <x v="0"/>
    <x v="4"/>
    <x v="1"/>
    <x v="0"/>
    <x v="3"/>
  </r>
  <r>
    <x v="44"/>
    <x v="1"/>
    <x v="5"/>
    <x v="20"/>
    <x v="0"/>
    <x v="31"/>
    <x v="0"/>
    <x v="0"/>
    <x v="4"/>
    <x v="0"/>
    <x v="1"/>
    <x v="2"/>
  </r>
  <r>
    <x v="45"/>
    <x v="1"/>
    <x v="4"/>
    <x v="1"/>
    <x v="0"/>
    <x v="32"/>
    <x v="0"/>
    <x v="0"/>
    <x v="2"/>
    <x v="1"/>
    <x v="1"/>
    <x v="2"/>
  </r>
  <r>
    <x v="46"/>
    <x v="1"/>
    <x v="4"/>
    <x v="22"/>
    <x v="0"/>
    <x v="16"/>
    <x v="0"/>
    <x v="0"/>
    <x v="1"/>
    <x v="1"/>
    <x v="1"/>
    <x v="2"/>
  </r>
  <r>
    <x v="47"/>
    <x v="1"/>
    <x v="4"/>
    <x v="14"/>
    <x v="0"/>
    <x v="29"/>
    <x v="1"/>
    <x v="2"/>
    <x v="0"/>
    <x v="1"/>
    <x v="1"/>
    <x v="2"/>
  </r>
  <r>
    <x v="48"/>
    <x v="1"/>
    <x v="3"/>
    <x v="17"/>
    <x v="0"/>
    <x v="33"/>
    <x v="2"/>
    <x v="1"/>
    <x v="3"/>
    <x v="0"/>
    <x v="1"/>
    <x v="2"/>
  </r>
  <r>
    <x v="49"/>
    <x v="1"/>
    <x v="3"/>
    <x v="23"/>
    <x v="0"/>
    <x v="12"/>
    <x v="1"/>
    <x v="1"/>
    <x v="2"/>
    <x v="1"/>
    <x v="1"/>
    <x v="2"/>
  </r>
  <r>
    <x v="50"/>
    <x v="1"/>
    <x v="5"/>
    <x v="24"/>
    <x v="0"/>
    <x v="11"/>
    <x v="3"/>
    <x v="0"/>
    <x v="2"/>
    <x v="0"/>
    <x v="1"/>
    <x v="2"/>
  </r>
  <r>
    <x v="51"/>
    <x v="1"/>
    <x v="5"/>
    <x v="25"/>
    <x v="0"/>
    <x v="34"/>
    <x v="2"/>
    <x v="1"/>
    <x v="2"/>
    <x v="1"/>
    <x v="1"/>
    <x v="2"/>
  </r>
  <r>
    <x v="52"/>
    <x v="1"/>
    <x v="3"/>
    <x v="1"/>
    <x v="1"/>
    <x v="35"/>
    <x v="1"/>
    <x v="1"/>
    <x v="0"/>
    <x v="1"/>
    <x v="0"/>
    <x v="0"/>
  </r>
  <r>
    <x v="53"/>
    <x v="1"/>
    <x v="5"/>
    <x v="12"/>
    <x v="0"/>
    <x v="36"/>
    <x v="2"/>
    <x v="2"/>
    <x v="2"/>
    <x v="1"/>
    <x v="1"/>
    <x v="2"/>
  </r>
  <r>
    <x v="54"/>
    <x v="1"/>
    <x v="4"/>
    <x v="18"/>
    <x v="0"/>
    <x v="37"/>
    <x v="2"/>
    <x v="1"/>
    <x v="4"/>
    <x v="1"/>
    <x v="1"/>
    <x v="2"/>
  </r>
  <r>
    <x v="55"/>
    <x v="1"/>
    <x v="4"/>
    <x v="13"/>
    <x v="0"/>
    <x v="7"/>
    <x v="0"/>
    <x v="0"/>
    <x v="4"/>
    <x v="0"/>
    <x v="1"/>
    <x v="2"/>
  </r>
  <r>
    <x v="56"/>
    <x v="1"/>
    <x v="4"/>
    <x v="9"/>
    <x v="0"/>
    <x v="38"/>
    <x v="2"/>
    <x v="1"/>
    <x v="3"/>
    <x v="0"/>
    <x v="1"/>
    <x v="2"/>
  </r>
  <r>
    <x v="57"/>
    <x v="1"/>
    <x v="4"/>
    <x v="2"/>
    <x v="0"/>
    <x v="39"/>
    <x v="3"/>
    <x v="2"/>
    <x v="2"/>
    <x v="1"/>
    <x v="1"/>
    <x v="2"/>
  </r>
  <r>
    <x v="58"/>
    <x v="1"/>
    <x v="3"/>
    <x v="2"/>
    <x v="1"/>
    <x v="30"/>
    <x v="0"/>
    <x v="1"/>
    <x v="4"/>
    <x v="1"/>
    <x v="1"/>
    <x v="2"/>
  </r>
  <r>
    <x v="59"/>
    <x v="1"/>
    <x v="3"/>
    <x v="7"/>
    <x v="0"/>
    <x v="29"/>
    <x v="1"/>
    <x v="2"/>
    <x v="2"/>
    <x v="0"/>
    <x v="1"/>
    <x v="2"/>
  </r>
  <r>
    <x v="60"/>
    <x v="1"/>
    <x v="4"/>
    <x v="11"/>
    <x v="1"/>
    <x v="2"/>
    <x v="1"/>
    <x v="1"/>
    <x v="4"/>
    <x v="0"/>
    <x v="0"/>
    <x v="6"/>
  </r>
  <r>
    <x v="61"/>
    <x v="1"/>
    <x v="4"/>
    <x v="2"/>
    <x v="1"/>
    <x v="8"/>
    <x v="0"/>
    <x v="1"/>
    <x v="4"/>
    <x v="1"/>
    <x v="1"/>
    <x v="2"/>
  </r>
  <r>
    <x v="62"/>
    <x v="1"/>
    <x v="4"/>
    <x v="22"/>
    <x v="0"/>
    <x v="30"/>
    <x v="0"/>
    <x v="1"/>
    <x v="4"/>
    <x v="0"/>
    <x v="1"/>
    <x v="2"/>
  </r>
  <r>
    <x v="63"/>
    <x v="1"/>
    <x v="4"/>
    <x v="25"/>
    <x v="1"/>
    <x v="40"/>
    <x v="2"/>
    <x v="0"/>
    <x v="1"/>
    <x v="0"/>
    <x v="1"/>
    <x v="2"/>
  </r>
  <r>
    <x v="64"/>
    <x v="1"/>
    <x v="3"/>
    <x v="26"/>
    <x v="1"/>
    <x v="41"/>
    <x v="1"/>
    <x v="0"/>
    <x v="2"/>
    <x v="1"/>
    <x v="1"/>
    <x v="2"/>
  </r>
  <r>
    <x v="65"/>
    <x v="1"/>
    <x v="4"/>
    <x v="16"/>
    <x v="0"/>
    <x v="42"/>
    <x v="0"/>
    <x v="0"/>
    <x v="4"/>
    <x v="0"/>
    <x v="0"/>
    <x v="3"/>
  </r>
  <r>
    <x v="66"/>
    <x v="2"/>
    <x v="6"/>
    <x v="8"/>
    <x v="0"/>
    <x v="2"/>
    <x v="1"/>
    <x v="0"/>
    <x v="3"/>
    <x v="1"/>
    <x v="1"/>
    <x v="2"/>
  </r>
  <r>
    <x v="67"/>
    <x v="2"/>
    <x v="7"/>
    <x v="27"/>
    <x v="0"/>
    <x v="43"/>
    <x v="0"/>
    <x v="0"/>
    <x v="2"/>
    <x v="0"/>
    <x v="1"/>
    <x v="2"/>
  </r>
  <r>
    <x v="68"/>
    <x v="2"/>
    <x v="6"/>
    <x v="15"/>
    <x v="0"/>
    <x v="44"/>
    <x v="3"/>
    <x v="0"/>
    <x v="2"/>
    <x v="1"/>
    <x v="1"/>
    <x v="2"/>
  </r>
  <r>
    <x v="69"/>
    <x v="2"/>
    <x v="6"/>
    <x v="24"/>
    <x v="1"/>
    <x v="29"/>
    <x v="1"/>
    <x v="0"/>
    <x v="0"/>
    <x v="1"/>
    <x v="0"/>
    <x v="5"/>
  </r>
  <r>
    <x v="70"/>
    <x v="2"/>
    <x v="6"/>
    <x v="26"/>
    <x v="1"/>
    <x v="22"/>
    <x v="0"/>
    <x v="1"/>
    <x v="4"/>
    <x v="1"/>
    <x v="1"/>
    <x v="2"/>
  </r>
  <r>
    <x v="71"/>
    <x v="2"/>
    <x v="6"/>
    <x v="19"/>
    <x v="1"/>
    <x v="5"/>
    <x v="1"/>
    <x v="0"/>
    <x v="0"/>
    <x v="1"/>
    <x v="0"/>
    <x v="3"/>
  </r>
  <r>
    <x v="72"/>
    <x v="2"/>
    <x v="7"/>
    <x v="22"/>
    <x v="1"/>
    <x v="2"/>
    <x v="1"/>
    <x v="1"/>
    <x v="2"/>
    <x v="1"/>
    <x v="1"/>
    <x v="2"/>
  </r>
  <r>
    <x v="73"/>
    <x v="2"/>
    <x v="6"/>
    <x v="16"/>
    <x v="0"/>
    <x v="45"/>
    <x v="0"/>
    <x v="0"/>
    <x v="3"/>
    <x v="1"/>
    <x v="1"/>
    <x v="2"/>
  </r>
  <r>
    <x v="74"/>
    <x v="2"/>
    <x v="7"/>
    <x v="26"/>
    <x v="0"/>
    <x v="46"/>
    <x v="2"/>
    <x v="1"/>
    <x v="2"/>
    <x v="1"/>
    <x v="0"/>
    <x v="3"/>
  </r>
  <r>
    <x v="75"/>
    <x v="2"/>
    <x v="7"/>
    <x v="7"/>
    <x v="0"/>
    <x v="41"/>
    <x v="1"/>
    <x v="1"/>
    <x v="4"/>
    <x v="0"/>
    <x v="0"/>
    <x v="6"/>
  </r>
  <r>
    <x v="76"/>
    <x v="2"/>
    <x v="6"/>
    <x v="28"/>
    <x v="1"/>
    <x v="47"/>
    <x v="2"/>
    <x v="2"/>
    <x v="2"/>
    <x v="1"/>
    <x v="1"/>
    <x v="2"/>
  </r>
  <r>
    <x v="77"/>
    <x v="2"/>
    <x v="6"/>
    <x v="26"/>
    <x v="0"/>
    <x v="48"/>
    <x v="2"/>
    <x v="2"/>
    <x v="4"/>
    <x v="1"/>
    <x v="1"/>
    <x v="2"/>
  </r>
  <r>
    <x v="78"/>
    <x v="2"/>
    <x v="6"/>
    <x v="19"/>
    <x v="0"/>
    <x v="43"/>
    <x v="0"/>
    <x v="0"/>
    <x v="4"/>
    <x v="1"/>
    <x v="0"/>
    <x v="4"/>
  </r>
  <r>
    <x v="79"/>
    <x v="2"/>
    <x v="7"/>
    <x v="29"/>
    <x v="1"/>
    <x v="49"/>
    <x v="3"/>
    <x v="0"/>
    <x v="1"/>
    <x v="1"/>
    <x v="1"/>
    <x v="2"/>
  </r>
  <r>
    <x v="80"/>
    <x v="2"/>
    <x v="6"/>
    <x v="10"/>
    <x v="1"/>
    <x v="19"/>
    <x v="3"/>
    <x v="0"/>
    <x v="0"/>
    <x v="1"/>
    <x v="0"/>
    <x v="4"/>
  </r>
  <r>
    <x v="81"/>
    <x v="2"/>
    <x v="7"/>
    <x v="11"/>
    <x v="1"/>
    <x v="40"/>
    <x v="2"/>
    <x v="1"/>
    <x v="4"/>
    <x v="0"/>
    <x v="1"/>
    <x v="2"/>
  </r>
  <r>
    <x v="82"/>
    <x v="2"/>
    <x v="7"/>
    <x v="8"/>
    <x v="0"/>
    <x v="29"/>
    <x v="1"/>
    <x v="0"/>
    <x v="3"/>
    <x v="1"/>
    <x v="0"/>
    <x v="0"/>
  </r>
  <r>
    <x v="83"/>
    <x v="2"/>
    <x v="6"/>
    <x v="30"/>
    <x v="1"/>
    <x v="26"/>
    <x v="1"/>
    <x v="1"/>
    <x v="2"/>
    <x v="0"/>
    <x v="0"/>
    <x v="3"/>
  </r>
  <r>
    <x v="84"/>
    <x v="2"/>
    <x v="6"/>
    <x v="23"/>
    <x v="1"/>
    <x v="41"/>
    <x v="1"/>
    <x v="0"/>
    <x v="4"/>
    <x v="1"/>
    <x v="1"/>
    <x v="2"/>
  </r>
  <r>
    <x v="85"/>
    <x v="2"/>
    <x v="7"/>
    <x v="31"/>
    <x v="0"/>
    <x v="40"/>
    <x v="2"/>
    <x v="0"/>
    <x v="3"/>
    <x v="1"/>
    <x v="1"/>
    <x v="2"/>
  </r>
  <r>
    <x v="86"/>
    <x v="2"/>
    <x v="6"/>
    <x v="13"/>
    <x v="0"/>
    <x v="50"/>
    <x v="3"/>
    <x v="0"/>
    <x v="4"/>
    <x v="0"/>
    <x v="1"/>
    <x v="2"/>
  </r>
  <r>
    <x v="87"/>
    <x v="2"/>
    <x v="7"/>
    <x v="9"/>
    <x v="1"/>
    <x v="25"/>
    <x v="1"/>
    <x v="0"/>
    <x v="2"/>
    <x v="0"/>
    <x v="0"/>
    <x v="5"/>
  </r>
  <r>
    <x v="88"/>
    <x v="2"/>
    <x v="7"/>
    <x v="9"/>
    <x v="0"/>
    <x v="37"/>
    <x v="2"/>
    <x v="2"/>
    <x v="0"/>
    <x v="1"/>
    <x v="0"/>
    <x v="4"/>
  </r>
  <r>
    <x v="89"/>
    <x v="2"/>
    <x v="6"/>
    <x v="7"/>
    <x v="0"/>
    <x v="35"/>
    <x v="1"/>
    <x v="2"/>
    <x v="2"/>
    <x v="0"/>
    <x v="1"/>
    <x v="2"/>
  </r>
  <r>
    <x v="90"/>
    <x v="2"/>
    <x v="6"/>
    <x v="1"/>
    <x v="0"/>
    <x v="51"/>
    <x v="3"/>
    <x v="2"/>
    <x v="2"/>
    <x v="1"/>
    <x v="1"/>
    <x v="2"/>
  </r>
  <r>
    <x v="91"/>
    <x v="2"/>
    <x v="7"/>
    <x v="23"/>
    <x v="1"/>
    <x v="40"/>
    <x v="2"/>
    <x v="0"/>
    <x v="2"/>
    <x v="1"/>
    <x v="1"/>
    <x v="2"/>
  </r>
  <r>
    <x v="92"/>
    <x v="2"/>
    <x v="7"/>
    <x v="21"/>
    <x v="0"/>
    <x v="40"/>
    <x v="2"/>
    <x v="1"/>
    <x v="3"/>
    <x v="1"/>
    <x v="1"/>
    <x v="2"/>
  </r>
  <r>
    <x v="93"/>
    <x v="2"/>
    <x v="6"/>
    <x v="14"/>
    <x v="1"/>
    <x v="52"/>
    <x v="2"/>
    <x v="0"/>
    <x v="2"/>
    <x v="1"/>
    <x v="1"/>
    <x v="2"/>
  </r>
  <r>
    <x v="94"/>
    <x v="2"/>
    <x v="7"/>
    <x v="15"/>
    <x v="1"/>
    <x v="1"/>
    <x v="0"/>
    <x v="0"/>
    <x v="0"/>
    <x v="1"/>
    <x v="0"/>
    <x v="6"/>
  </r>
  <r>
    <x v="95"/>
    <x v="2"/>
    <x v="7"/>
    <x v="4"/>
    <x v="0"/>
    <x v="53"/>
    <x v="3"/>
    <x v="1"/>
    <x v="2"/>
    <x v="1"/>
    <x v="0"/>
    <x v="5"/>
  </r>
  <r>
    <x v="96"/>
    <x v="2"/>
    <x v="7"/>
    <x v="1"/>
    <x v="0"/>
    <x v="14"/>
    <x v="1"/>
    <x v="0"/>
    <x v="4"/>
    <x v="0"/>
    <x v="1"/>
    <x v="2"/>
  </r>
  <r>
    <x v="97"/>
    <x v="3"/>
    <x v="8"/>
    <x v="1"/>
    <x v="0"/>
    <x v="54"/>
    <x v="3"/>
    <x v="0"/>
    <x v="4"/>
    <x v="0"/>
    <x v="1"/>
    <x v="2"/>
  </r>
  <r>
    <x v="98"/>
    <x v="3"/>
    <x v="9"/>
    <x v="32"/>
    <x v="0"/>
    <x v="29"/>
    <x v="1"/>
    <x v="1"/>
    <x v="2"/>
    <x v="1"/>
    <x v="0"/>
    <x v="1"/>
  </r>
  <r>
    <x v="99"/>
    <x v="3"/>
    <x v="9"/>
    <x v="33"/>
    <x v="0"/>
    <x v="1"/>
    <x v="0"/>
    <x v="2"/>
    <x v="1"/>
    <x v="0"/>
    <x v="0"/>
    <x v="0"/>
  </r>
  <r>
    <x v="100"/>
    <x v="3"/>
    <x v="9"/>
    <x v="11"/>
    <x v="1"/>
    <x v="55"/>
    <x v="2"/>
    <x v="0"/>
    <x v="2"/>
    <x v="1"/>
    <x v="1"/>
    <x v="2"/>
  </r>
  <r>
    <x v="101"/>
    <x v="3"/>
    <x v="9"/>
    <x v="30"/>
    <x v="0"/>
    <x v="18"/>
    <x v="0"/>
    <x v="0"/>
    <x v="2"/>
    <x v="0"/>
    <x v="1"/>
    <x v="2"/>
  </r>
  <r>
    <x v="102"/>
    <x v="3"/>
    <x v="8"/>
    <x v="1"/>
    <x v="1"/>
    <x v="56"/>
    <x v="0"/>
    <x v="1"/>
    <x v="2"/>
    <x v="1"/>
    <x v="0"/>
    <x v="4"/>
  </r>
  <r>
    <x v="103"/>
    <x v="3"/>
    <x v="8"/>
    <x v="29"/>
    <x v="0"/>
    <x v="23"/>
    <x v="2"/>
    <x v="1"/>
    <x v="0"/>
    <x v="1"/>
    <x v="1"/>
    <x v="2"/>
  </r>
  <r>
    <x v="104"/>
    <x v="3"/>
    <x v="9"/>
    <x v="3"/>
    <x v="1"/>
    <x v="5"/>
    <x v="1"/>
    <x v="0"/>
    <x v="3"/>
    <x v="1"/>
    <x v="1"/>
    <x v="2"/>
  </r>
  <r>
    <x v="105"/>
    <x v="3"/>
    <x v="9"/>
    <x v="33"/>
    <x v="0"/>
    <x v="14"/>
    <x v="1"/>
    <x v="1"/>
    <x v="2"/>
    <x v="1"/>
    <x v="0"/>
    <x v="5"/>
  </r>
  <r>
    <x v="106"/>
    <x v="3"/>
    <x v="8"/>
    <x v="22"/>
    <x v="1"/>
    <x v="57"/>
    <x v="2"/>
    <x v="2"/>
    <x v="2"/>
    <x v="1"/>
    <x v="0"/>
    <x v="0"/>
  </r>
  <r>
    <x v="107"/>
    <x v="3"/>
    <x v="8"/>
    <x v="34"/>
    <x v="0"/>
    <x v="13"/>
    <x v="0"/>
    <x v="1"/>
    <x v="2"/>
    <x v="0"/>
    <x v="1"/>
    <x v="2"/>
  </r>
  <r>
    <x v="108"/>
    <x v="3"/>
    <x v="9"/>
    <x v="12"/>
    <x v="1"/>
    <x v="10"/>
    <x v="0"/>
    <x v="0"/>
    <x v="3"/>
    <x v="1"/>
    <x v="1"/>
    <x v="2"/>
  </r>
  <r>
    <x v="109"/>
    <x v="3"/>
    <x v="8"/>
    <x v="15"/>
    <x v="1"/>
    <x v="13"/>
    <x v="0"/>
    <x v="1"/>
    <x v="2"/>
    <x v="1"/>
    <x v="1"/>
    <x v="2"/>
  </r>
  <r>
    <x v="110"/>
    <x v="3"/>
    <x v="9"/>
    <x v="10"/>
    <x v="0"/>
    <x v="58"/>
    <x v="2"/>
    <x v="0"/>
    <x v="2"/>
    <x v="1"/>
    <x v="1"/>
    <x v="2"/>
  </r>
  <r>
    <x v="111"/>
    <x v="3"/>
    <x v="8"/>
    <x v="31"/>
    <x v="0"/>
    <x v="59"/>
    <x v="2"/>
    <x v="2"/>
    <x v="3"/>
    <x v="0"/>
    <x v="1"/>
    <x v="2"/>
  </r>
  <r>
    <x v="112"/>
    <x v="3"/>
    <x v="8"/>
    <x v="18"/>
    <x v="0"/>
    <x v="60"/>
    <x v="2"/>
    <x v="0"/>
    <x v="0"/>
    <x v="1"/>
    <x v="1"/>
    <x v="2"/>
  </r>
  <r>
    <x v="113"/>
    <x v="3"/>
    <x v="8"/>
    <x v="5"/>
    <x v="0"/>
    <x v="16"/>
    <x v="0"/>
    <x v="0"/>
    <x v="4"/>
    <x v="1"/>
    <x v="1"/>
    <x v="2"/>
  </r>
  <r>
    <x v="114"/>
    <x v="3"/>
    <x v="9"/>
    <x v="13"/>
    <x v="1"/>
    <x v="20"/>
    <x v="3"/>
    <x v="1"/>
    <x v="3"/>
    <x v="1"/>
    <x v="1"/>
    <x v="2"/>
  </r>
  <r>
    <x v="115"/>
    <x v="3"/>
    <x v="8"/>
    <x v="30"/>
    <x v="0"/>
    <x v="29"/>
    <x v="1"/>
    <x v="1"/>
    <x v="3"/>
    <x v="1"/>
    <x v="0"/>
    <x v="0"/>
  </r>
  <r>
    <x v="116"/>
    <x v="3"/>
    <x v="8"/>
    <x v="33"/>
    <x v="0"/>
    <x v="40"/>
    <x v="2"/>
    <x v="0"/>
    <x v="4"/>
    <x v="1"/>
    <x v="1"/>
    <x v="2"/>
  </r>
  <r>
    <x v="117"/>
    <x v="3"/>
    <x v="8"/>
    <x v="24"/>
    <x v="1"/>
    <x v="61"/>
    <x v="3"/>
    <x v="2"/>
    <x v="4"/>
    <x v="0"/>
    <x v="1"/>
    <x v="2"/>
  </r>
  <r>
    <x v="118"/>
    <x v="3"/>
    <x v="8"/>
    <x v="17"/>
    <x v="1"/>
    <x v="25"/>
    <x v="1"/>
    <x v="2"/>
    <x v="3"/>
    <x v="0"/>
    <x v="1"/>
    <x v="2"/>
  </r>
  <r>
    <x v="119"/>
    <x v="3"/>
    <x v="9"/>
    <x v="0"/>
    <x v="1"/>
    <x v="31"/>
    <x v="0"/>
    <x v="1"/>
    <x v="1"/>
    <x v="1"/>
    <x v="0"/>
    <x v="1"/>
  </r>
  <r>
    <x v="120"/>
    <x v="3"/>
    <x v="9"/>
    <x v="14"/>
    <x v="1"/>
    <x v="32"/>
    <x v="0"/>
    <x v="0"/>
    <x v="2"/>
    <x v="1"/>
    <x v="1"/>
    <x v="2"/>
  </r>
  <r>
    <x v="121"/>
    <x v="3"/>
    <x v="8"/>
    <x v="8"/>
    <x v="0"/>
    <x v="9"/>
    <x v="1"/>
    <x v="2"/>
    <x v="3"/>
    <x v="0"/>
    <x v="1"/>
    <x v="2"/>
  </r>
  <r>
    <x v="122"/>
    <x v="3"/>
    <x v="9"/>
    <x v="35"/>
    <x v="0"/>
    <x v="13"/>
    <x v="0"/>
    <x v="0"/>
    <x v="4"/>
    <x v="1"/>
    <x v="1"/>
    <x v="2"/>
  </r>
  <r>
    <x v="123"/>
    <x v="3"/>
    <x v="8"/>
    <x v="20"/>
    <x v="0"/>
    <x v="62"/>
    <x v="2"/>
    <x v="0"/>
    <x v="2"/>
    <x v="1"/>
    <x v="1"/>
    <x v="2"/>
  </r>
  <r>
    <x v="124"/>
    <x v="3"/>
    <x v="8"/>
    <x v="34"/>
    <x v="1"/>
    <x v="25"/>
    <x v="1"/>
    <x v="0"/>
    <x v="4"/>
    <x v="1"/>
    <x v="1"/>
    <x v="2"/>
  </r>
  <r>
    <x v="125"/>
    <x v="3"/>
    <x v="8"/>
    <x v="34"/>
    <x v="0"/>
    <x v="63"/>
    <x v="3"/>
    <x v="1"/>
    <x v="3"/>
    <x v="1"/>
    <x v="1"/>
    <x v="2"/>
  </r>
  <r>
    <x v="126"/>
    <x v="3"/>
    <x v="8"/>
    <x v="25"/>
    <x v="1"/>
    <x v="5"/>
    <x v="1"/>
    <x v="1"/>
    <x v="4"/>
    <x v="1"/>
    <x v="0"/>
    <x v="1"/>
  </r>
  <r>
    <x v="127"/>
    <x v="3"/>
    <x v="8"/>
    <x v="24"/>
    <x v="1"/>
    <x v="52"/>
    <x v="2"/>
    <x v="0"/>
    <x v="4"/>
    <x v="1"/>
    <x v="1"/>
    <x v="2"/>
  </r>
  <r>
    <x v="128"/>
    <x v="3"/>
    <x v="9"/>
    <x v="27"/>
    <x v="0"/>
    <x v="25"/>
    <x v="1"/>
    <x v="1"/>
    <x v="2"/>
    <x v="1"/>
    <x v="0"/>
    <x v="3"/>
  </r>
  <r>
    <x v="129"/>
    <x v="3"/>
    <x v="9"/>
    <x v="0"/>
    <x v="1"/>
    <x v="26"/>
    <x v="1"/>
    <x v="0"/>
    <x v="3"/>
    <x v="0"/>
    <x v="1"/>
    <x v="2"/>
  </r>
  <r>
    <x v="130"/>
    <x v="3"/>
    <x v="9"/>
    <x v="17"/>
    <x v="1"/>
    <x v="42"/>
    <x v="0"/>
    <x v="1"/>
    <x v="3"/>
    <x v="1"/>
    <x v="1"/>
    <x v="2"/>
  </r>
  <r>
    <x v="131"/>
    <x v="3"/>
    <x v="9"/>
    <x v="32"/>
    <x v="1"/>
    <x v="26"/>
    <x v="1"/>
    <x v="1"/>
    <x v="4"/>
    <x v="0"/>
    <x v="0"/>
    <x v="5"/>
  </r>
  <r>
    <x v="132"/>
    <x v="3"/>
    <x v="9"/>
    <x v="9"/>
    <x v="0"/>
    <x v="37"/>
    <x v="2"/>
    <x v="1"/>
    <x v="4"/>
    <x v="1"/>
    <x v="1"/>
    <x v="2"/>
  </r>
  <r>
    <x v="133"/>
    <x v="3"/>
    <x v="8"/>
    <x v="21"/>
    <x v="0"/>
    <x v="5"/>
    <x v="1"/>
    <x v="1"/>
    <x v="2"/>
    <x v="0"/>
    <x v="1"/>
    <x v="2"/>
  </r>
  <r>
    <x v="134"/>
    <x v="3"/>
    <x v="9"/>
    <x v="12"/>
    <x v="0"/>
    <x v="5"/>
    <x v="1"/>
    <x v="1"/>
    <x v="2"/>
    <x v="0"/>
    <x v="0"/>
    <x v="3"/>
  </r>
  <r>
    <x v="135"/>
    <x v="3"/>
    <x v="9"/>
    <x v="18"/>
    <x v="1"/>
    <x v="9"/>
    <x v="1"/>
    <x v="0"/>
    <x v="2"/>
    <x v="0"/>
    <x v="1"/>
    <x v="2"/>
  </r>
  <r>
    <x v="136"/>
    <x v="3"/>
    <x v="9"/>
    <x v="18"/>
    <x v="1"/>
    <x v="64"/>
    <x v="3"/>
    <x v="0"/>
    <x v="3"/>
    <x v="1"/>
    <x v="1"/>
    <x v="2"/>
  </r>
  <r>
    <x v="137"/>
    <x v="4"/>
    <x v="10"/>
    <x v="34"/>
    <x v="1"/>
    <x v="30"/>
    <x v="0"/>
    <x v="1"/>
    <x v="4"/>
    <x v="0"/>
    <x v="1"/>
    <x v="2"/>
  </r>
  <r>
    <x v="138"/>
    <x v="4"/>
    <x v="10"/>
    <x v="18"/>
    <x v="0"/>
    <x v="0"/>
    <x v="0"/>
    <x v="1"/>
    <x v="4"/>
    <x v="1"/>
    <x v="1"/>
    <x v="2"/>
  </r>
  <r>
    <x v="139"/>
    <x v="4"/>
    <x v="10"/>
    <x v="28"/>
    <x v="0"/>
    <x v="29"/>
    <x v="1"/>
    <x v="0"/>
    <x v="2"/>
    <x v="0"/>
    <x v="0"/>
    <x v="6"/>
  </r>
  <r>
    <x v="140"/>
    <x v="4"/>
    <x v="11"/>
    <x v="2"/>
    <x v="1"/>
    <x v="12"/>
    <x v="1"/>
    <x v="2"/>
    <x v="2"/>
    <x v="1"/>
    <x v="0"/>
    <x v="1"/>
  </r>
  <r>
    <x v="141"/>
    <x v="4"/>
    <x v="10"/>
    <x v="16"/>
    <x v="1"/>
    <x v="26"/>
    <x v="1"/>
    <x v="0"/>
    <x v="3"/>
    <x v="0"/>
    <x v="1"/>
    <x v="2"/>
  </r>
  <r>
    <x v="142"/>
    <x v="4"/>
    <x v="11"/>
    <x v="5"/>
    <x v="0"/>
    <x v="43"/>
    <x v="0"/>
    <x v="1"/>
    <x v="4"/>
    <x v="0"/>
    <x v="1"/>
    <x v="2"/>
  </r>
  <r>
    <x v="143"/>
    <x v="4"/>
    <x v="10"/>
    <x v="27"/>
    <x v="1"/>
    <x v="65"/>
    <x v="3"/>
    <x v="0"/>
    <x v="0"/>
    <x v="0"/>
    <x v="0"/>
    <x v="6"/>
  </r>
  <r>
    <x v="144"/>
    <x v="4"/>
    <x v="11"/>
    <x v="25"/>
    <x v="1"/>
    <x v="66"/>
    <x v="2"/>
    <x v="2"/>
    <x v="0"/>
    <x v="1"/>
    <x v="1"/>
    <x v="2"/>
  </r>
  <r>
    <x v="145"/>
    <x v="4"/>
    <x v="11"/>
    <x v="2"/>
    <x v="1"/>
    <x v="58"/>
    <x v="2"/>
    <x v="0"/>
    <x v="2"/>
    <x v="0"/>
    <x v="1"/>
    <x v="2"/>
  </r>
  <r>
    <x v="146"/>
    <x v="4"/>
    <x v="11"/>
    <x v="14"/>
    <x v="0"/>
    <x v="67"/>
    <x v="2"/>
    <x v="1"/>
    <x v="3"/>
    <x v="1"/>
    <x v="1"/>
    <x v="2"/>
  </r>
  <r>
    <x v="147"/>
    <x v="4"/>
    <x v="11"/>
    <x v="12"/>
    <x v="0"/>
    <x v="68"/>
    <x v="0"/>
    <x v="1"/>
    <x v="0"/>
    <x v="0"/>
    <x v="0"/>
    <x v="4"/>
  </r>
  <r>
    <x v="148"/>
    <x v="4"/>
    <x v="10"/>
    <x v="24"/>
    <x v="1"/>
    <x v="65"/>
    <x v="3"/>
    <x v="0"/>
    <x v="2"/>
    <x v="1"/>
    <x v="1"/>
    <x v="2"/>
  </r>
  <r>
    <x v="149"/>
    <x v="4"/>
    <x v="11"/>
    <x v="24"/>
    <x v="1"/>
    <x v="27"/>
    <x v="0"/>
    <x v="1"/>
    <x v="4"/>
    <x v="1"/>
    <x v="0"/>
    <x v="1"/>
  </r>
  <r>
    <x v="150"/>
    <x v="4"/>
    <x v="10"/>
    <x v="12"/>
    <x v="1"/>
    <x v="2"/>
    <x v="1"/>
    <x v="0"/>
    <x v="0"/>
    <x v="1"/>
    <x v="0"/>
    <x v="3"/>
  </r>
  <r>
    <x v="151"/>
    <x v="4"/>
    <x v="10"/>
    <x v="19"/>
    <x v="0"/>
    <x v="52"/>
    <x v="2"/>
    <x v="0"/>
    <x v="0"/>
    <x v="0"/>
    <x v="0"/>
    <x v="4"/>
  </r>
  <r>
    <x v="152"/>
    <x v="4"/>
    <x v="11"/>
    <x v="2"/>
    <x v="0"/>
    <x v="69"/>
    <x v="3"/>
    <x v="0"/>
    <x v="2"/>
    <x v="1"/>
    <x v="1"/>
    <x v="2"/>
  </r>
  <r>
    <x v="153"/>
    <x v="4"/>
    <x v="10"/>
    <x v="23"/>
    <x v="1"/>
    <x v="8"/>
    <x v="0"/>
    <x v="0"/>
    <x v="4"/>
    <x v="1"/>
    <x v="0"/>
    <x v="6"/>
  </r>
  <r>
    <x v="154"/>
    <x v="4"/>
    <x v="11"/>
    <x v="4"/>
    <x v="1"/>
    <x v="70"/>
    <x v="2"/>
    <x v="0"/>
    <x v="0"/>
    <x v="1"/>
    <x v="0"/>
    <x v="3"/>
  </r>
  <r>
    <x v="155"/>
    <x v="4"/>
    <x v="11"/>
    <x v="19"/>
    <x v="1"/>
    <x v="33"/>
    <x v="2"/>
    <x v="2"/>
    <x v="4"/>
    <x v="0"/>
    <x v="1"/>
    <x v="2"/>
  </r>
  <r>
    <x v="156"/>
    <x v="4"/>
    <x v="10"/>
    <x v="3"/>
    <x v="0"/>
    <x v="9"/>
    <x v="1"/>
    <x v="0"/>
    <x v="2"/>
    <x v="0"/>
    <x v="0"/>
    <x v="6"/>
  </r>
  <r>
    <x v="157"/>
    <x v="4"/>
    <x v="10"/>
    <x v="35"/>
    <x v="1"/>
    <x v="71"/>
    <x v="3"/>
    <x v="0"/>
    <x v="1"/>
    <x v="0"/>
    <x v="1"/>
    <x v="2"/>
  </r>
  <r>
    <x v="158"/>
    <x v="4"/>
    <x v="10"/>
    <x v="30"/>
    <x v="1"/>
    <x v="72"/>
    <x v="3"/>
    <x v="0"/>
    <x v="2"/>
    <x v="0"/>
    <x v="1"/>
    <x v="2"/>
  </r>
  <r>
    <x v="159"/>
    <x v="4"/>
    <x v="10"/>
    <x v="24"/>
    <x v="0"/>
    <x v="14"/>
    <x v="1"/>
    <x v="0"/>
    <x v="2"/>
    <x v="1"/>
    <x v="0"/>
    <x v="3"/>
  </r>
  <r>
    <x v="160"/>
    <x v="4"/>
    <x v="11"/>
    <x v="3"/>
    <x v="0"/>
    <x v="29"/>
    <x v="1"/>
    <x v="2"/>
    <x v="0"/>
    <x v="1"/>
    <x v="1"/>
    <x v="2"/>
  </r>
  <r>
    <x v="161"/>
    <x v="4"/>
    <x v="11"/>
    <x v="22"/>
    <x v="1"/>
    <x v="73"/>
    <x v="3"/>
    <x v="0"/>
    <x v="2"/>
    <x v="1"/>
    <x v="1"/>
    <x v="2"/>
  </r>
  <r>
    <x v="162"/>
    <x v="4"/>
    <x v="10"/>
    <x v="25"/>
    <x v="1"/>
    <x v="58"/>
    <x v="2"/>
    <x v="1"/>
    <x v="2"/>
    <x v="1"/>
    <x v="1"/>
    <x v="2"/>
  </r>
  <r>
    <x v="163"/>
    <x v="4"/>
    <x v="11"/>
    <x v="23"/>
    <x v="1"/>
    <x v="37"/>
    <x v="2"/>
    <x v="0"/>
    <x v="2"/>
    <x v="1"/>
    <x v="1"/>
    <x v="2"/>
  </r>
  <r>
    <x v="164"/>
    <x v="4"/>
    <x v="10"/>
    <x v="36"/>
    <x v="0"/>
    <x v="74"/>
    <x v="2"/>
    <x v="2"/>
    <x v="2"/>
    <x v="1"/>
    <x v="1"/>
    <x v="2"/>
  </r>
  <r>
    <x v="165"/>
    <x v="4"/>
    <x v="10"/>
    <x v="10"/>
    <x v="0"/>
    <x v="1"/>
    <x v="0"/>
    <x v="2"/>
    <x v="2"/>
    <x v="0"/>
    <x v="1"/>
    <x v="2"/>
  </r>
  <r>
    <x v="166"/>
    <x v="4"/>
    <x v="11"/>
    <x v="9"/>
    <x v="1"/>
    <x v="7"/>
    <x v="0"/>
    <x v="2"/>
    <x v="2"/>
    <x v="1"/>
    <x v="1"/>
    <x v="2"/>
  </r>
  <r>
    <x v="167"/>
    <x v="5"/>
    <x v="12"/>
    <x v="25"/>
    <x v="1"/>
    <x v="41"/>
    <x v="1"/>
    <x v="1"/>
    <x v="2"/>
    <x v="0"/>
    <x v="1"/>
    <x v="2"/>
  </r>
  <r>
    <x v="168"/>
    <x v="5"/>
    <x v="13"/>
    <x v="26"/>
    <x v="0"/>
    <x v="55"/>
    <x v="2"/>
    <x v="0"/>
    <x v="4"/>
    <x v="1"/>
    <x v="1"/>
    <x v="2"/>
  </r>
  <r>
    <x v="169"/>
    <x v="5"/>
    <x v="13"/>
    <x v="21"/>
    <x v="1"/>
    <x v="23"/>
    <x v="2"/>
    <x v="0"/>
    <x v="2"/>
    <x v="1"/>
    <x v="1"/>
    <x v="2"/>
  </r>
  <r>
    <x v="170"/>
    <x v="5"/>
    <x v="13"/>
    <x v="28"/>
    <x v="0"/>
    <x v="29"/>
    <x v="1"/>
    <x v="1"/>
    <x v="2"/>
    <x v="1"/>
    <x v="1"/>
    <x v="2"/>
  </r>
  <r>
    <x v="171"/>
    <x v="5"/>
    <x v="12"/>
    <x v="20"/>
    <x v="1"/>
    <x v="75"/>
    <x v="3"/>
    <x v="0"/>
    <x v="3"/>
    <x v="1"/>
    <x v="1"/>
    <x v="2"/>
  </r>
  <r>
    <x v="172"/>
    <x v="5"/>
    <x v="12"/>
    <x v="27"/>
    <x v="1"/>
    <x v="76"/>
    <x v="2"/>
    <x v="2"/>
    <x v="2"/>
    <x v="0"/>
    <x v="1"/>
    <x v="2"/>
  </r>
  <r>
    <x v="173"/>
    <x v="5"/>
    <x v="12"/>
    <x v="27"/>
    <x v="1"/>
    <x v="5"/>
    <x v="1"/>
    <x v="1"/>
    <x v="2"/>
    <x v="1"/>
    <x v="1"/>
    <x v="2"/>
  </r>
  <r>
    <x v="174"/>
    <x v="5"/>
    <x v="13"/>
    <x v="16"/>
    <x v="1"/>
    <x v="40"/>
    <x v="2"/>
    <x v="1"/>
    <x v="4"/>
    <x v="1"/>
    <x v="1"/>
    <x v="2"/>
  </r>
  <r>
    <x v="175"/>
    <x v="5"/>
    <x v="13"/>
    <x v="20"/>
    <x v="1"/>
    <x v="1"/>
    <x v="0"/>
    <x v="0"/>
    <x v="2"/>
    <x v="0"/>
    <x v="0"/>
    <x v="3"/>
  </r>
  <r>
    <x v="176"/>
    <x v="5"/>
    <x v="12"/>
    <x v="35"/>
    <x v="1"/>
    <x v="24"/>
    <x v="2"/>
    <x v="0"/>
    <x v="4"/>
    <x v="1"/>
    <x v="1"/>
    <x v="2"/>
  </r>
  <r>
    <x v="177"/>
    <x v="5"/>
    <x v="13"/>
    <x v="20"/>
    <x v="0"/>
    <x v="25"/>
    <x v="1"/>
    <x v="0"/>
    <x v="2"/>
    <x v="0"/>
    <x v="1"/>
    <x v="2"/>
  </r>
  <r>
    <x v="178"/>
    <x v="5"/>
    <x v="12"/>
    <x v="34"/>
    <x v="0"/>
    <x v="77"/>
    <x v="3"/>
    <x v="1"/>
    <x v="1"/>
    <x v="1"/>
    <x v="1"/>
    <x v="2"/>
  </r>
  <r>
    <x v="179"/>
    <x v="5"/>
    <x v="12"/>
    <x v="6"/>
    <x v="0"/>
    <x v="9"/>
    <x v="1"/>
    <x v="0"/>
    <x v="0"/>
    <x v="1"/>
    <x v="1"/>
    <x v="2"/>
  </r>
  <r>
    <x v="180"/>
    <x v="5"/>
    <x v="12"/>
    <x v="15"/>
    <x v="1"/>
    <x v="38"/>
    <x v="2"/>
    <x v="2"/>
    <x v="0"/>
    <x v="0"/>
    <x v="0"/>
    <x v="0"/>
  </r>
  <r>
    <x v="181"/>
    <x v="5"/>
    <x v="13"/>
    <x v="27"/>
    <x v="1"/>
    <x v="30"/>
    <x v="0"/>
    <x v="1"/>
    <x v="2"/>
    <x v="0"/>
    <x v="1"/>
    <x v="2"/>
  </r>
  <r>
    <x v="182"/>
    <x v="5"/>
    <x v="13"/>
    <x v="26"/>
    <x v="0"/>
    <x v="78"/>
    <x v="2"/>
    <x v="2"/>
    <x v="0"/>
    <x v="1"/>
    <x v="1"/>
    <x v="2"/>
  </r>
  <r>
    <x v="183"/>
    <x v="5"/>
    <x v="12"/>
    <x v="1"/>
    <x v="1"/>
    <x v="25"/>
    <x v="1"/>
    <x v="0"/>
    <x v="2"/>
    <x v="1"/>
    <x v="1"/>
    <x v="2"/>
  </r>
  <r>
    <x v="184"/>
    <x v="5"/>
    <x v="13"/>
    <x v="3"/>
    <x v="1"/>
    <x v="5"/>
    <x v="1"/>
    <x v="1"/>
    <x v="2"/>
    <x v="0"/>
    <x v="1"/>
    <x v="2"/>
  </r>
  <r>
    <x v="185"/>
    <x v="5"/>
    <x v="12"/>
    <x v="20"/>
    <x v="1"/>
    <x v="31"/>
    <x v="0"/>
    <x v="2"/>
    <x v="2"/>
    <x v="0"/>
    <x v="0"/>
    <x v="1"/>
  </r>
  <r>
    <x v="186"/>
    <x v="5"/>
    <x v="13"/>
    <x v="17"/>
    <x v="1"/>
    <x v="29"/>
    <x v="1"/>
    <x v="0"/>
    <x v="1"/>
    <x v="0"/>
    <x v="0"/>
    <x v="4"/>
  </r>
  <r>
    <x v="187"/>
    <x v="5"/>
    <x v="12"/>
    <x v="5"/>
    <x v="1"/>
    <x v="79"/>
    <x v="2"/>
    <x v="0"/>
    <x v="1"/>
    <x v="1"/>
    <x v="0"/>
    <x v="0"/>
  </r>
  <r>
    <x v="188"/>
    <x v="5"/>
    <x v="12"/>
    <x v="25"/>
    <x v="1"/>
    <x v="58"/>
    <x v="2"/>
    <x v="1"/>
    <x v="4"/>
    <x v="0"/>
    <x v="0"/>
    <x v="4"/>
  </r>
  <r>
    <x v="189"/>
    <x v="5"/>
    <x v="13"/>
    <x v="9"/>
    <x v="0"/>
    <x v="80"/>
    <x v="3"/>
    <x v="2"/>
    <x v="0"/>
    <x v="0"/>
    <x v="1"/>
    <x v="2"/>
  </r>
  <r>
    <x v="190"/>
    <x v="5"/>
    <x v="12"/>
    <x v="36"/>
    <x v="0"/>
    <x v="49"/>
    <x v="3"/>
    <x v="1"/>
    <x v="4"/>
    <x v="0"/>
    <x v="1"/>
    <x v="2"/>
  </r>
  <r>
    <x v="191"/>
    <x v="5"/>
    <x v="12"/>
    <x v="28"/>
    <x v="0"/>
    <x v="5"/>
    <x v="1"/>
    <x v="0"/>
    <x v="4"/>
    <x v="0"/>
    <x v="0"/>
    <x v="4"/>
  </r>
  <r>
    <x v="192"/>
    <x v="5"/>
    <x v="12"/>
    <x v="16"/>
    <x v="0"/>
    <x v="31"/>
    <x v="0"/>
    <x v="1"/>
    <x v="2"/>
    <x v="0"/>
    <x v="0"/>
    <x v="0"/>
  </r>
  <r>
    <x v="193"/>
    <x v="5"/>
    <x v="13"/>
    <x v="35"/>
    <x v="1"/>
    <x v="34"/>
    <x v="2"/>
    <x v="0"/>
    <x v="3"/>
    <x v="1"/>
    <x v="0"/>
    <x v="5"/>
  </r>
  <r>
    <x v="194"/>
    <x v="5"/>
    <x v="13"/>
    <x v="17"/>
    <x v="1"/>
    <x v="5"/>
    <x v="1"/>
    <x v="0"/>
    <x v="2"/>
    <x v="0"/>
    <x v="0"/>
    <x v="1"/>
  </r>
  <r>
    <x v="195"/>
    <x v="5"/>
    <x v="13"/>
    <x v="9"/>
    <x v="0"/>
    <x v="43"/>
    <x v="0"/>
    <x v="0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:D11" firstHeaderRow="0" firstDataRow="1" firstDataCol="1" rowPageCount="1" colPageCount="1"/>
  <pivotFields count="13">
    <pivotField compact="0" showAll="0">
      <items count="1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axis="axisRow" compact="0" showAll="0">
      <items count="7">
        <item x="2"/>
        <item x="1"/>
        <item x="4"/>
        <item x="5"/>
        <item x="3"/>
        <item x="0"/>
        <item t="default"/>
      </items>
    </pivotField>
    <pivotField compact="0" showAll="0"/>
    <pivotField compact="0" showAll="0"/>
    <pivotField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axis="axisPage" dataField="1" compact="0" multipleItemSelectionAllowed="1" showAll="0">
      <items count="3">
        <item h="1" x="1"/>
        <item x="0"/>
        <item t="default"/>
      </items>
    </pivotField>
    <pivotField compact="0" showAll="0"/>
    <pivotField dataField="1" dragToCol="0" dragToPage="0" dragToRow="0" compact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/>
  </pageFields>
  <dataFields count="3">
    <dataField name="Count of Attrition" fld="10" subtotal="count" baseField="0" baseItem="0"/>
    <dataField name="Count of Attrition2" fld="10" subtotal="count" showDataAs="percentOfCol" baseField="0" baseItem="0" numFmtId="10"/>
    <dataField name="Sum of Attrition Rate = Attrition_Count / Headcount_Count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EmployeeData" displayName="EmployeeData" ref="A1:L197" totalsRowShown="0">
  <autoFilter xmlns:etc="http://www.wps.cn/officeDocument/2017/etCustomData" ref="A1:L197" etc:filterBottomFollowUsedRange="0"/>
  <tableColumns count="12">
    <tableColumn id="1" name="Employee ID"/>
    <tableColumn id="2" name="Department"/>
    <tableColumn id="3" name="Job Role"/>
    <tableColumn id="4" name="Age"/>
    <tableColumn id="5" name="Gender"/>
    <tableColumn id="6" name="Tenure (Years)"/>
    <tableColumn id="7" name="Tenure Band"/>
    <tableColumn id="8" name="Salary Band"/>
    <tableColumn id="9" name="Performance Rating"/>
    <tableColumn id="10" name="OverTime"/>
    <tableColumn id="11" name="Attrition"/>
    <tableColumn id="12" name="Reason for Leav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1"/>
  <sheetViews>
    <sheetView tabSelected="1" workbookViewId="0">
      <selection activeCell="B4" sqref="B4 B5:B11"/>
      <pivotSelection pane="bottomRight" showHeader="1" extendable="1" axis="axisCol" activeRow="3" activeCol="1" previousRow="3" previousCol="1" click="1" r:id="rId1">
        <pivotArea dataOnly="0" outline="0" fieldPosition="0">
          <references count="1">
            <reference field="4294967294" count="1">
              <x v="0"/>
            </reference>
          </references>
        </pivotArea>
      </pivotSelection>
    </sheetView>
  </sheetViews>
  <sheetFormatPr defaultColWidth="8.88888888888889" defaultRowHeight="14.4" outlineLevelCol="3"/>
  <cols>
    <col min="1" max="1" width="17.1111111111111"/>
    <col min="2" max="4" width="54.7777777777778"/>
  </cols>
  <sheetData>
    <row r="2" spans="1:2">
      <c r="A2" t="s">
        <v>0</v>
      </c>
      <c r="B2" t="s">
        <v>1</v>
      </c>
    </row>
    <row r="4" spans="1:4">
      <c r="A4" t="s">
        <v>2</v>
      </c>
      <c r="B4" t="s">
        <v>3</v>
      </c>
      <c r="C4" t="s">
        <v>4</v>
      </c>
      <c r="D4" t="s">
        <v>5</v>
      </c>
    </row>
    <row r="5" spans="1:4">
      <c r="A5" t="s">
        <v>6</v>
      </c>
      <c r="B5">
        <v>12</v>
      </c>
      <c r="C5" s="8">
        <v>0.171428571428571</v>
      </c>
      <c r="D5">
        <v>0</v>
      </c>
    </row>
    <row r="6" spans="1:4">
      <c r="A6" t="s">
        <v>7</v>
      </c>
      <c r="B6">
        <v>8</v>
      </c>
      <c r="C6" s="8">
        <v>0.114285714285714</v>
      </c>
      <c r="D6">
        <v>0</v>
      </c>
    </row>
    <row r="7" spans="1:4">
      <c r="A7" t="s">
        <v>8</v>
      </c>
      <c r="B7">
        <v>11</v>
      </c>
      <c r="C7" s="8">
        <v>0.157142857142857</v>
      </c>
      <c r="D7">
        <v>0</v>
      </c>
    </row>
    <row r="8" spans="1:4">
      <c r="A8" t="s">
        <v>9</v>
      </c>
      <c r="B8">
        <v>11</v>
      </c>
      <c r="C8" s="8">
        <v>0.157142857142857</v>
      </c>
      <c r="D8">
        <v>0</v>
      </c>
    </row>
    <row r="9" spans="1:4">
      <c r="A9" t="s">
        <v>10</v>
      </c>
      <c r="B9">
        <v>11</v>
      </c>
      <c r="C9" s="8">
        <v>0.157142857142857</v>
      </c>
      <c r="D9">
        <v>0</v>
      </c>
    </row>
    <row r="10" spans="1:4">
      <c r="A10" t="s">
        <v>11</v>
      </c>
      <c r="B10">
        <v>17</v>
      </c>
      <c r="C10" s="8">
        <v>0.242857142857143</v>
      </c>
      <c r="D10">
        <v>0</v>
      </c>
    </row>
    <row r="11" spans="1:4">
      <c r="A11" t="s">
        <v>12</v>
      </c>
      <c r="B11">
        <v>70</v>
      </c>
      <c r="C11" s="8">
        <v>1</v>
      </c>
      <c r="D1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7"/>
  <sheetViews>
    <sheetView workbookViewId="0">
      <pane ySplit="1" topLeftCell="A2" activePane="bottomLeft" state="frozen"/>
      <selection/>
      <selection pane="bottomLeft" activeCell="E2" sqref="E2"/>
    </sheetView>
  </sheetViews>
  <sheetFormatPr defaultColWidth="8.67592592592593" defaultRowHeight="14.4"/>
  <cols>
    <col min="1" max="1" width="12" customWidth="1"/>
    <col min="2" max="2" width="16" customWidth="1"/>
    <col min="3" max="3" width="18" customWidth="1"/>
    <col min="4" max="4" width="6" customWidth="1"/>
    <col min="5" max="5" width="9" customWidth="1"/>
    <col min="6" max="6" width="14" customWidth="1"/>
    <col min="7" max="8" width="12" customWidth="1"/>
    <col min="9" max="9" width="18" customWidth="1"/>
    <col min="10" max="11" width="10" customWidth="1"/>
    <col min="12" max="12" width="20" customWidth="1"/>
  </cols>
  <sheetData>
    <row r="1" spans="1:14">
      <c r="A1" s="7" t="s">
        <v>13</v>
      </c>
      <c r="B1" s="7" t="s">
        <v>2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0</v>
      </c>
      <c r="L1" s="7" t="s">
        <v>22</v>
      </c>
      <c r="N1" s="2" t="s">
        <v>23</v>
      </c>
    </row>
    <row r="2" spans="1:14">
      <c r="A2">
        <v>1001</v>
      </c>
      <c r="B2" t="s">
        <v>11</v>
      </c>
      <c r="C2" t="s">
        <v>24</v>
      </c>
      <c r="D2">
        <v>57</v>
      </c>
      <c r="E2" t="s">
        <v>25</v>
      </c>
      <c r="F2">
        <v>2.7</v>
      </c>
      <c r="G2" t="str">
        <f t="shared" ref="G2:G65" si="0">IF(F2&lt;1,"0-1 yrs",IF(F2&lt;3,"1-3 yrs",IF(F2&lt;7,"3-7 yrs","7+ yrs")))</f>
        <v>1-3 yrs</v>
      </c>
      <c r="H2" t="s">
        <v>26</v>
      </c>
      <c r="I2">
        <v>2</v>
      </c>
      <c r="J2" t="s">
        <v>1</v>
      </c>
      <c r="K2" t="s">
        <v>1</v>
      </c>
      <c r="L2" t="s">
        <v>27</v>
      </c>
      <c r="N2" s="2" t="s">
        <v>28</v>
      </c>
    </row>
    <row r="3" spans="1:12">
      <c r="A3">
        <v>1002</v>
      </c>
      <c r="B3" t="s">
        <v>11</v>
      </c>
      <c r="C3" t="s">
        <v>24</v>
      </c>
      <c r="D3">
        <v>24</v>
      </c>
      <c r="E3" t="s">
        <v>25</v>
      </c>
      <c r="F3">
        <v>1</v>
      </c>
      <c r="G3" t="str">
        <f t="shared" si="0"/>
        <v>1-3 yrs</v>
      </c>
      <c r="H3" t="s">
        <v>29</v>
      </c>
      <c r="I3">
        <v>1</v>
      </c>
      <c r="J3" t="s">
        <v>30</v>
      </c>
      <c r="K3" t="s">
        <v>1</v>
      </c>
      <c r="L3" t="s">
        <v>31</v>
      </c>
    </row>
    <row r="4" spans="1:11">
      <c r="A4">
        <v>1003</v>
      </c>
      <c r="B4" t="s">
        <v>11</v>
      </c>
      <c r="C4" t="s">
        <v>32</v>
      </c>
      <c r="D4">
        <v>42</v>
      </c>
      <c r="E4" t="s">
        <v>25</v>
      </c>
      <c r="F4">
        <v>0.6</v>
      </c>
      <c r="G4" t="str">
        <f t="shared" si="0"/>
        <v>0-1 yrs</v>
      </c>
      <c r="H4" t="s">
        <v>26</v>
      </c>
      <c r="I4">
        <v>3</v>
      </c>
      <c r="J4" t="s">
        <v>30</v>
      </c>
      <c r="K4" t="s">
        <v>30</v>
      </c>
    </row>
    <row r="5" spans="1:12">
      <c r="A5">
        <v>1004</v>
      </c>
      <c r="B5" t="s">
        <v>11</v>
      </c>
      <c r="C5" t="s">
        <v>33</v>
      </c>
      <c r="D5">
        <v>27</v>
      </c>
      <c r="E5" t="s">
        <v>25</v>
      </c>
      <c r="F5">
        <v>4.2</v>
      </c>
      <c r="G5" t="str">
        <f t="shared" si="0"/>
        <v>3-7 yrs</v>
      </c>
      <c r="H5" t="s">
        <v>29</v>
      </c>
      <c r="I5">
        <v>3</v>
      </c>
      <c r="J5" t="s">
        <v>1</v>
      </c>
      <c r="K5" t="s">
        <v>1</v>
      </c>
      <c r="L5" t="s">
        <v>27</v>
      </c>
    </row>
    <row r="6" spans="1:12">
      <c r="A6">
        <v>1005</v>
      </c>
      <c r="B6" t="s">
        <v>11</v>
      </c>
      <c r="C6" t="s">
        <v>32</v>
      </c>
      <c r="D6">
        <v>22</v>
      </c>
      <c r="E6" t="s">
        <v>34</v>
      </c>
      <c r="F6">
        <v>2.8</v>
      </c>
      <c r="G6" t="str">
        <f t="shared" si="0"/>
        <v>1-3 yrs</v>
      </c>
      <c r="H6" t="s">
        <v>26</v>
      </c>
      <c r="I6">
        <v>3</v>
      </c>
      <c r="J6" t="s">
        <v>30</v>
      </c>
      <c r="K6" t="s">
        <v>1</v>
      </c>
      <c r="L6" t="s">
        <v>35</v>
      </c>
    </row>
    <row r="7" spans="1:12">
      <c r="A7">
        <v>1006</v>
      </c>
      <c r="B7" t="s">
        <v>11</v>
      </c>
      <c r="C7" t="s">
        <v>32</v>
      </c>
      <c r="D7">
        <v>43</v>
      </c>
      <c r="E7" t="s">
        <v>34</v>
      </c>
      <c r="F7">
        <v>1</v>
      </c>
      <c r="G7" t="str">
        <f t="shared" si="0"/>
        <v>1-3 yrs</v>
      </c>
      <c r="H7" t="s">
        <v>26</v>
      </c>
      <c r="I7">
        <v>3</v>
      </c>
      <c r="J7" t="s">
        <v>30</v>
      </c>
      <c r="K7" t="s">
        <v>1</v>
      </c>
      <c r="L7" t="s">
        <v>36</v>
      </c>
    </row>
    <row r="8" spans="1:12">
      <c r="A8">
        <v>1007</v>
      </c>
      <c r="B8" t="s">
        <v>11</v>
      </c>
      <c r="C8" t="s">
        <v>24</v>
      </c>
      <c r="D8">
        <v>34</v>
      </c>
      <c r="E8" t="s">
        <v>34</v>
      </c>
      <c r="F8">
        <v>0.4</v>
      </c>
      <c r="G8" t="str">
        <f t="shared" si="0"/>
        <v>0-1 yrs</v>
      </c>
      <c r="H8" t="s">
        <v>29</v>
      </c>
      <c r="I8">
        <v>5</v>
      </c>
      <c r="J8" t="s">
        <v>1</v>
      </c>
      <c r="K8" t="s">
        <v>1</v>
      </c>
      <c r="L8" t="s">
        <v>36</v>
      </c>
    </row>
    <row r="9" spans="1:11">
      <c r="A9">
        <v>1008</v>
      </c>
      <c r="B9" t="s">
        <v>11</v>
      </c>
      <c r="C9" t="s">
        <v>33</v>
      </c>
      <c r="D9">
        <v>58</v>
      </c>
      <c r="E9" t="s">
        <v>34</v>
      </c>
      <c r="F9">
        <v>4.8</v>
      </c>
      <c r="G9" t="str">
        <f t="shared" si="0"/>
        <v>3-7 yrs</v>
      </c>
      <c r="H9" t="s">
        <v>26</v>
      </c>
      <c r="I9">
        <v>2</v>
      </c>
      <c r="J9" t="s">
        <v>1</v>
      </c>
      <c r="K9" t="s">
        <v>30</v>
      </c>
    </row>
    <row r="10" spans="1:11">
      <c r="A10">
        <v>1009</v>
      </c>
      <c r="B10" t="s">
        <v>11</v>
      </c>
      <c r="C10" t="s">
        <v>33</v>
      </c>
      <c r="D10">
        <v>22</v>
      </c>
      <c r="E10" t="s">
        <v>25</v>
      </c>
      <c r="F10">
        <v>1.9</v>
      </c>
      <c r="G10" t="str">
        <f t="shared" si="0"/>
        <v>1-3 yrs</v>
      </c>
      <c r="H10" t="s">
        <v>29</v>
      </c>
      <c r="I10">
        <v>2</v>
      </c>
      <c r="J10" t="s">
        <v>30</v>
      </c>
      <c r="K10" t="s">
        <v>30</v>
      </c>
    </row>
    <row r="11" spans="1:12">
      <c r="A11">
        <v>1010</v>
      </c>
      <c r="B11" t="s">
        <v>11</v>
      </c>
      <c r="C11" t="s">
        <v>33</v>
      </c>
      <c r="D11">
        <v>37</v>
      </c>
      <c r="E11" t="s">
        <v>34</v>
      </c>
      <c r="F11">
        <v>2.3</v>
      </c>
      <c r="G11" t="str">
        <f t="shared" si="0"/>
        <v>1-3 yrs</v>
      </c>
      <c r="H11" t="s">
        <v>26</v>
      </c>
      <c r="I11">
        <v>3</v>
      </c>
      <c r="J11" t="s">
        <v>1</v>
      </c>
      <c r="K11" t="s">
        <v>1</v>
      </c>
      <c r="L11" t="s">
        <v>35</v>
      </c>
    </row>
    <row r="12" spans="1:11">
      <c r="A12">
        <v>1011</v>
      </c>
      <c r="B12" t="s">
        <v>11</v>
      </c>
      <c r="C12" t="s">
        <v>24</v>
      </c>
      <c r="D12">
        <v>37</v>
      </c>
      <c r="E12" t="s">
        <v>25</v>
      </c>
      <c r="F12">
        <v>0.3</v>
      </c>
      <c r="G12" t="str">
        <f t="shared" si="0"/>
        <v>0-1 yrs</v>
      </c>
      <c r="H12" t="s">
        <v>37</v>
      </c>
      <c r="I12">
        <v>2</v>
      </c>
      <c r="J12" t="s">
        <v>30</v>
      </c>
      <c r="K12" t="s">
        <v>30</v>
      </c>
    </row>
    <row r="13" spans="1:12">
      <c r="A13">
        <v>1012</v>
      </c>
      <c r="B13" t="s">
        <v>11</v>
      </c>
      <c r="C13" t="s">
        <v>32</v>
      </c>
      <c r="D13">
        <v>26</v>
      </c>
      <c r="E13" t="s">
        <v>25</v>
      </c>
      <c r="F13">
        <v>2.8</v>
      </c>
      <c r="G13" t="str">
        <f t="shared" si="0"/>
        <v>1-3 yrs</v>
      </c>
      <c r="H13" t="s">
        <v>29</v>
      </c>
      <c r="I13">
        <v>3</v>
      </c>
      <c r="J13" t="s">
        <v>1</v>
      </c>
      <c r="K13" t="s">
        <v>1</v>
      </c>
      <c r="L13" t="s">
        <v>38</v>
      </c>
    </row>
    <row r="14" spans="1:12">
      <c r="A14">
        <v>1013</v>
      </c>
      <c r="B14" t="s">
        <v>11</v>
      </c>
      <c r="C14" t="s">
        <v>32</v>
      </c>
      <c r="D14">
        <v>27</v>
      </c>
      <c r="E14" t="s">
        <v>25</v>
      </c>
      <c r="F14">
        <v>1.9</v>
      </c>
      <c r="G14" t="str">
        <f t="shared" si="0"/>
        <v>1-3 yrs</v>
      </c>
      <c r="H14" t="s">
        <v>26</v>
      </c>
      <c r="I14">
        <v>5</v>
      </c>
      <c r="J14" t="s">
        <v>30</v>
      </c>
      <c r="K14" t="s">
        <v>1</v>
      </c>
      <c r="L14" t="s">
        <v>35</v>
      </c>
    </row>
    <row r="15" spans="1:11">
      <c r="A15">
        <v>1014</v>
      </c>
      <c r="B15" t="s">
        <v>11</v>
      </c>
      <c r="C15" t="s">
        <v>32</v>
      </c>
      <c r="D15">
        <v>24</v>
      </c>
      <c r="E15" t="s">
        <v>34</v>
      </c>
      <c r="F15">
        <v>0.6</v>
      </c>
      <c r="G15" t="str">
        <f t="shared" si="0"/>
        <v>0-1 yrs</v>
      </c>
      <c r="H15" t="s">
        <v>29</v>
      </c>
      <c r="I15">
        <v>4</v>
      </c>
      <c r="J15" t="s">
        <v>30</v>
      </c>
      <c r="K15" t="s">
        <v>30</v>
      </c>
    </row>
    <row r="16" spans="1:11">
      <c r="A16">
        <v>1015</v>
      </c>
      <c r="B16" t="s">
        <v>11</v>
      </c>
      <c r="C16" t="s">
        <v>32</v>
      </c>
      <c r="D16">
        <v>30</v>
      </c>
      <c r="E16" t="s">
        <v>25</v>
      </c>
      <c r="F16">
        <v>2.4</v>
      </c>
      <c r="G16" t="str">
        <f t="shared" si="0"/>
        <v>1-3 yrs</v>
      </c>
      <c r="H16" t="s">
        <v>37</v>
      </c>
      <c r="I16">
        <v>4</v>
      </c>
      <c r="J16" t="s">
        <v>30</v>
      </c>
      <c r="K16" t="s">
        <v>30</v>
      </c>
    </row>
    <row r="17" spans="1:11">
      <c r="A17">
        <v>1016</v>
      </c>
      <c r="B17" t="s">
        <v>11</v>
      </c>
      <c r="C17" t="s">
        <v>33</v>
      </c>
      <c r="D17">
        <v>22</v>
      </c>
      <c r="E17" t="s">
        <v>34</v>
      </c>
      <c r="F17">
        <v>7</v>
      </c>
      <c r="G17" t="str">
        <f t="shared" si="0"/>
        <v>7+ yrs</v>
      </c>
      <c r="H17" t="s">
        <v>37</v>
      </c>
      <c r="I17">
        <v>4</v>
      </c>
      <c r="J17" t="s">
        <v>30</v>
      </c>
      <c r="K17" t="s">
        <v>30</v>
      </c>
    </row>
    <row r="18" spans="1:12">
      <c r="A18">
        <v>1017</v>
      </c>
      <c r="B18" t="s">
        <v>11</v>
      </c>
      <c r="C18" t="s">
        <v>24</v>
      </c>
      <c r="D18">
        <v>56</v>
      </c>
      <c r="E18" t="s">
        <v>34</v>
      </c>
      <c r="F18">
        <v>0.5</v>
      </c>
      <c r="G18" t="str">
        <f t="shared" si="0"/>
        <v>0-1 yrs</v>
      </c>
      <c r="H18" t="s">
        <v>29</v>
      </c>
      <c r="I18">
        <v>4</v>
      </c>
      <c r="J18" t="s">
        <v>30</v>
      </c>
      <c r="K18" t="s">
        <v>1</v>
      </c>
      <c r="L18" t="s">
        <v>39</v>
      </c>
    </row>
    <row r="19" spans="1:12">
      <c r="A19">
        <v>1018</v>
      </c>
      <c r="B19" t="s">
        <v>11</v>
      </c>
      <c r="C19" t="s">
        <v>33</v>
      </c>
      <c r="D19">
        <v>45</v>
      </c>
      <c r="E19" t="s">
        <v>25</v>
      </c>
      <c r="F19">
        <v>2.2</v>
      </c>
      <c r="G19" t="str">
        <f t="shared" si="0"/>
        <v>1-3 yrs</v>
      </c>
      <c r="H19" t="s">
        <v>26</v>
      </c>
      <c r="I19">
        <v>3</v>
      </c>
      <c r="J19" t="s">
        <v>30</v>
      </c>
      <c r="K19" t="s">
        <v>1</v>
      </c>
      <c r="L19" t="s">
        <v>27</v>
      </c>
    </row>
    <row r="20" spans="1:12">
      <c r="A20">
        <v>1019</v>
      </c>
      <c r="B20" t="s">
        <v>11</v>
      </c>
      <c r="C20" t="s">
        <v>33</v>
      </c>
      <c r="D20">
        <v>49</v>
      </c>
      <c r="E20" t="s">
        <v>34</v>
      </c>
      <c r="F20">
        <v>0.9</v>
      </c>
      <c r="G20" t="str">
        <f t="shared" si="0"/>
        <v>0-1 yrs</v>
      </c>
      <c r="H20" t="s">
        <v>26</v>
      </c>
      <c r="I20">
        <v>5</v>
      </c>
      <c r="J20" t="s">
        <v>1</v>
      </c>
      <c r="K20" t="s">
        <v>1</v>
      </c>
      <c r="L20" t="s">
        <v>35</v>
      </c>
    </row>
    <row r="21" spans="1:11">
      <c r="A21">
        <v>1020</v>
      </c>
      <c r="B21" t="s">
        <v>11</v>
      </c>
      <c r="C21" t="s">
        <v>33</v>
      </c>
      <c r="D21">
        <v>32</v>
      </c>
      <c r="E21" t="s">
        <v>34</v>
      </c>
      <c r="F21">
        <v>3.9</v>
      </c>
      <c r="G21" t="str">
        <f t="shared" si="0"/>
        <v>3-7 yrs</v>
      </c>
      <c r="H21" t="s">
        <v>26</v>
      </c>
      <c r="I21">
        <v>4</v>
      </c>
      <c r="J21" t="s">
        <v>30</v>
      </c>
      <c r="K21" t="s">
        <v>30</v>
      </c>
    </row>
    <row r="22" spans="1:12">
      <c r="A22">
        <v>1021</v>
      </c>
      <c r="B22" t="s">
        <v>11</v>
      </c>
      <c r="C22" t="s">
        <v>33</v>
      </c>
      <c r="D22">
        <v>42</v>
      </c>
      <c r="E22" t="s">
        <v>34</v>
      </c>
      <c r="F22">
        <v>1.6</v>
      </c>
      <c r="G22" t="str">
        <f t="shared" si="0"/>
        <v>1-3 yrs</v>
      </c>
      <c r="H22" t="s">
        <v>29</v>
      </c>
      <c r="I22">
        <v>4</v>
      </c>
      <c r="J22" t="s">
        <v>1</v>
      </c>
      <c r="K22" t="s">
        <v>1</v>
      </c>
      <c r="L22" t="s">
        <v>31</v>
      </c>
    </row>
    <row r="23" spans="1:11">
      <c r="A23">
        <v>1022</v>
      </c>
      <c r="B23" t="s">
        <v>11</v>
      </c>
      <c r="C23" t="s">
        <v>32</v>
      </c>
      <c r="D23">
        <v>34</v>
      </c>
      <c r="E23" t="s">
        <v>34</v>
      </c>
      <c r="F23">
        <v>13.4</v>
      </c>
      <c r="G23" t="str">
        <f t="shared" si="0"/>
        <v>7+ yrs</v>
      </c>
      <c r="H23" t="s">
        <v>26</v>
      </c>
      <c r="I23">
        <v>4</v>
      </c>
      <c r="J23" t="s">
        <v>30</v>
      </c>
      <c r="K23" t="s">
        <v>30</v>
      </c>
    </row>
    <row r="24" spans="1:11">
      <c r="A24">
        <v>1023</v>
      </c>
      <c r="B24" t="s">
        <v>11</v>
      </c>
      <c r="C24" t="s">
        <v>24</v>
      </c>
      <c r="D24">
        <v>26</v>
      </c>
      <c r="E24" t="s">
        <v>34</v>
      </c>
      <c r="F24">
        <v>2</v>
      </c>
      <c r="G24" t="str">
        <f t="shared" si="0"/>
        <v>1-3 yrs</v>
      </c>
      <c r="H24" t="s">
        <v>29</v>
      </c>
      <c r="I24">
        <v>3</v>
      </c>
      <c r="J24" t="s">
        <v>30</v>
      </c>
      <c r="K24" t="s">
        <v>30</v>
      </c>
    </row>
    <row r="25" spans="1:11">
      <c r="A25">
        <v>1024</v>
      </c>
      <c r="B25" t="s">
        <v>11</v>
      </c>
      <c r="C25" t="s">
        <v>24</v>
      </c>
      <c r="D25">
        <v>55</v>
      </c>
      <c r="E25" t="s">
        <v>34</v>
      </c>
      <c r="F25">
        <v>7.7</v>
      </c>
      <c r="G25" t="str">
        <f t="shared" si="0"/>
        <v>7+ yrs</v>
      </c>
      <c r="H25" t="s">
        <v>26</v>
      </c>
      <c r="I25">
        <v>3</v>
      </c>
      <c r="J25" t="s">
        <v>1</v>
      </c>
      <c r="K25" t="s">
        <v>30</v>
      </c>
    </row>
    <row r="26" spans="1:11">
      <c r="A26">
        <v>1025</v>
      </c>
      <c r="B26" t="s">
        <v>11</v>
      </c>
      <c r="C26" t="s">
        <v>33</v>
      </c>
      <c r="D26">
        <v>22</v>
      </c>
      <c r="E26" t="s">
        <v>25</v>
      </c>
      <c r="F26">
        <v>2.3</v>
      </c>
      <c r="G26" t="str">
        <f t="shared" si="0"/>
        <v>1-3 yrs</v>
      </c>
      <c r="H26" t="s">
        <v>26</v>
      </c>
      <c r="I26">
        <v>3</v>
      </c>
      <c r="J26" t="s">
        <v>30</v>
      </c>
      <c r="K26" t="s">
        <v>30</v>
      </c>
    </row>
    <row r="27" spans="1:11">
      <c r="A27">
        <v>1026</v>
      </c>
      <c r="B27" t="s">
        <v>11</v>
      </c>
      <c r="C27" t="s">
        <v>33</v>
      </c>
      <c r="D27">
        <v>29</v>
      </c>
      <c r="E27" t="s">
        <v>34</v>
      </c>
      <c r="F27">
        <v>9.5</v>
      </c>
      <c r="G27" t="str">
        <f t="shared" si="0"/>
        <v>7+ yrs</v>
      </c>
      <c r="H27" t="s">
        <v>29</v>
      </c>
      <c r="I27">
        <v>4</v>
      </c>
      <c r="J27" t="s">
        <v>1</v>
      </c>
      <c r="K27" t="s">
        <v>30</v>
      </c>
    </row>
    <row r="28" spans="1:12">
      <c r="A28">
        <v>1027</v>
      </c>
      <c r="B28" t="s">
        <v>11</v>
      </c>
      <c r="C28" t="s">
        <v>32</v>
      </c>
      <c r="D28">
        <v>24</v>
      </c>
      <c r="E28" t="s">
        <v>25</v>
      </c>
      <c r="F28">
        <v>0.3</v>
      </c>
      <c r="G28" t="str">
        <f t="shared" si="0"/>
        <v>0-1 yrs</v>
      </c>
      <c r="H28" t="s">
        <v>26</v>
      </c>
      <c r="I28">
        <v>1</v>
      </c>
      <c r="J28" t="s">
        <v>30</v>
      </c>
      <c r="K28" t="s">
        <v>1</v>
      </c>
      <c r="L28" t="s">
        <v>38</v>
      </c>
    </row>
    <row r="29" spans="1:11">
      <c r="A29">
        <v>1028</v>
      </c>
      <c r="B29" t="s">
        <v>11</v>
      </c>
      <c r="C29" t="s">
        <v>33</v>
      </c>
      <c r="D29">
        <v>52</v>
      </c>
      <c r="E29" t="s">
        <v>34</v>
      </c>
      <c r="F29">
        <v>2.8</v>
      </c>
      <c r="G29" t="str">
        <f t="shared" si="0"/>
        <v>1-3 yrs</v>
      </c>
      <c r="H29" t="s">
        <v>26</v>
      </c>
      <c r="I29">
        <v>4</v>
      </c>
      <c r="J29" t="s">
        <v>30</v>
      </c>
      <c r="K29" t="s">
        <v>30</v>
      </c>
    </row>
    <row r="30" spans="1:11">
      <c r="A30">
        <v>1029</v>
      </c>
      <c r="B30" t="s">
        <v>11</v>
      </c>
      <c r="C30" t="s">
        <v>33</v>
      </c>
      <c r="D30">
        <v>57</v>
      </c>
      <c r="E30" t="s">
        <v>25</v>
      </c>
      <c r="F30">
        <v>11.1</v>
      </c>
      <c r="G30" t="str">
        <f t="shared" si="0"/>
        <v>7+ yrs</v>
      </c>
      <c r="H30" t="s">
        <v>29</v>
      </c>
      <c r="I30">
        <v>3</v>
      </c>
      <c r="J30" t="s">
        <v>30</v>
      </c>
      <c r="K30" t="s">
        <v>30</v>
      </c>
    </row>
    <row r="31" spans="1:12">
      <c r="A31">
        <v>1030</v>
      </c>
      <c r="B31" t="s">
        <v>11</v>
      </c>
      <c r="C31" t="s">
        <v>24</v>
      </c>
      <c r="D31">
        <v>35</v>
      </c>
      <c r="E31" t="s">
        <v>25</v>
      </c>
      <c r="F31">
        <v>0.9</v>
      </c>
      <c r="G31" t="str">
        <f t="shared" si="0"/>
        <v>0-1 yrs</v>
      </c>
      <c r="H31" t="s">
        <v>29</v>
      </c>
      <c r="I31">
        <v>1</v>
      </c>
      <c r="J31" t="s">
        <v>1</v>
      </c>
      <c r="K31" t="s">
        <v>1</v>
      </c>
      <c r="L31" t="s">
        <v>39</v>
      </c>
    </row>
    <row r="32" spans="1:12">
      <c r="A32">
        <v>1031</v>
      </c>
      <c r="B32" t="s">
        <v>11</v>
      </c>
      <c r="C32" t="s">
        <v>24</v>
      </c>
      <c r="D32">
        <v>55</v>
      </c>
      <c r="E32" t="s">
        <v>25</v>
      </c>
      <c r="F32">
        <v>0.5</v>
      </c>
      <c r="G32" t="str">
        <f t="shared" si="0"/>
        <v>0-1 yrs</v>
      </c>
      <c r="H32" t="s">
        <v>26</v>
      </c>
      <c r="I32">
        <v>5</v>
      </c>
      <c r="J32" t="s">
        <v>30</v>
      </c>
      <c r="K32" t="s">
        <v>1</v>
      </c>
      <c r="L32" t="s">
        <v>38</v>
      </c>
    </row>
    <row r="33" spans="1:12">
      <c r="A33">
        <v>1032</v>
      </c>
      <c r="B33" t="s">
        <v>11</v>
      </c>
      <c r="C33" t="s">
        <v>33</v>
      </c>
      <c r="D33">
        <v>52</v>
      </c>
      <c r="E33" t="s">
        <v>25</v>
      </c>
      <c r="F33">
        <v>1.9</v>
      </c>
      <c r="G33" t="str">
        <f t="shared" si="0"/>
        <v>1-3 yrs</v>
      </c>
      <c r="H33" t="s">
        <v>29</v>
      </c>
      <c r="I33">
        <v>3</v>
      </c>
      <c r="J33" t="s">
        <v>1</v>
      </c>
      <c r="K33" t="s">
        <v>1</v>
      </c>
      <c r="L33" t="s">
        <v>27</v>
      </c>
    </row>
    <row r="34" spans="1:11">
      <c r="A34">
        <v>1033</v>
      </c>
      <c r="B34" t="s">
        <v>11</v>
      </c>
      <c r="C34" t="s">
        <v>24</v>
      </c>
      <c r="D34">
        <v>23</v>
      </c>
      <c r="E34" t="s">
        <v>34</v>
      </c>
      <c r="F34">
        <v>1.5</v>
      </c>
      <c r="G34" t="str">
        <f t="shared" si="0"/>
        <v>1-3 yrs</v>
      </c>
      <c r="H34" t="s">
        <v>26</v>
      </c>
      <c r="I34">
        <v>3</v>
      </c>
      <c r="J34" t="s">
        <v>30</v>
      </c>
      <c r="K34" t="s">
        <v>30</v>
      </c>
    </row>
    <row r="35" spans="1:11">
      <c r="A35">
        <v>1034</v>
      </c>
      <c r="B35" t="s">
        <v>11</v>
      </c>
      <c r="C35" t="s">
        <v>24</v>
      </c>
      <c r="D35">
        <v>38</v>
      </c>
      <c r="E35" t="s">
        <v>34</v>
      </c>
      <c r="F35">
        <v>3.1</v>
      </c>
      <c r="G35" t="str">
        <f t="shared" si="0"/>
        <v>3-7 yrs</v>
      </c>
      <c r="H35" t="s">
        <v>29</v>
      </c>
      <c r="I35">
        <v>3</v>
      </c>
      <c r="J35" t="s">
        <v>30</v>
      </c>
      <c r="K35" t="s">
        <v>30</v>
      </c>
    </row>
    <row r="36" spans="1:11">
      <c r="A36">
        <v>1035</v>
      </c>
      <c r="B36" t="s">
        <v>11</v>
      </c>
      <c r="C36" t="s">
        <v>33</v>
      </c>
      <c r="D36">
        <v>55</v>
      </c>
      <c r="E36" t="s">
        <v>34</v>
      </c>
      <c r="F36">
        <v>6.4</v>
      </c>
      <c r="G36" t="str">
        <f t="shared" si="0"/>
        <v>3-7 yrs</v>
      </c>
      <c r="H36" t="s">
        <v>37</v>
      </c>
      <c r="I36">
        <v>3</v>
      </c>
      <c r="J36" t="s">
        <v>1</v>
      </c>
      <c r="K36" t="s">
        <v>30</v>
      </c>
    </row>
    <row r="37" spans="1:11">
      <c r="A37">
        <v>1036</v>
      </c>
      <c r="B37" t="s">
        <v>7</v>
      </c>
      <c r="C37" t="s">
        <v>40</v>
      </c>
      <c r="D37">
        <v>34</v>
      </c>
      <c r="E37" t="s">
        <v>34</v>
      </c>
      <c r="F37">
        <v>0.1</v>
      </c>
      <c r="G37" t="str">
        <f t="shared" si="0"/>
        <v>0-1 yrs</v>
      </c>
      <c r="H37" t="s">
        <v>26</v>
      </c>
      <c r="I37">
        <v>4</v>
      </c>
      <c r="J37" t="s">
        <v>1</v>
      </c>
      <c r="K37" t="s">
        <v>30</v>
      </c>
    </row>
    <row r="38" spans="1:11">
      <c r="A38">
        <v>1037</v>
      </c>
      <c r="B38" t="s">
        <v>7</v>
      </c>
      <c r="C38" t="s">
        <v>41</v>
      </c>
      <c r="D38">
        <v>23</v>
      </c>
      <c r="E38" t="s">
        <v>34</v>
      </c>
      <c r="F38">
        <v>0.2</v>
      </c>
      <c r="G38" t="str">
        <f t="shared" si="0"/>
        <v>0-1 yrs</v>
      </c>
      <c r="H38" t="s">
        <v>26</v>
      </c>
      <c r="I38">
        <v>3</v>
      </c>
      <c r="J38" t="s">
        <v>30</v>
      </c>
      <c r="K38" t="s">
        <v>30</v>
      </c>
    </row>
    <row r="39" spans="1:12">
      <c r="A39">
        <v>1038</v>
      </c>
      <c r="B39" t="s">
        <v>7</v>
      </c>
      <c r="C39" t="s">
        <v>42</v>
      </c>
      <c r="D39">
        <v>26</v>
      </c>
      <c r="E39" t="s">
        <v>25</v>
      </c>
      <c r="F39">
        <v>1.1</v>
      </c>
      <c r="G39" t="str">
        <f t="shared" si="0"/>
        <v>1-3 yrs</v>
      </c>
      <c r="H39" t="s">
        <v>29</v>
      </c>
      <c r="I39">
        <v>2</v>
      </c>
      <c r="J39" t="s">
        <v>1</v>
      </c>
      <c r="K39" t="s">
        <v>1</v>
      </c>
      <c r="L39" t="s">
        <v>35</v>
      </c>
    </row>
    <row r="40" spans="1:12">
      <c r="A40">
        <v>1039</v>
      </c>
      <c r="B40" t="s">
        <v>7</v>
      </c>
      <c r="C40" t="s">
        <v>40</v>
      </c>
      <c r="D40">
        <v>28</v>
      </c>
      <c r="E40" t="s">
        <v>34</v>
      </c>
      <c r="F40">
        <v>2.4</v>
      </c>
      <c r="G40" t="str">
        <f t="shared" si="0"/>
        <v>1-3 yrs</v>
      </c>
      <c r="H40" t="s">
        <v>26</v>
      </c>
      <c r="I40">
        <v>3</v>
      </c>
      <c r="J40" t="s">
        <v>30</v>
      </c>
      <c r="K40" t="s">
        <v>1</v>
      </c>
      <c r="L40" t="s">
        <v>27</v>
      </c>
    </row>
    <row r="41" spans="1:12">
      <c r="A41">
        <v>1040</v>
      </c>
      <c r="B41" t="s">
        <v>7</v>
      </c>
      <c r="C41" t="s">
        <v>42</v>
      </c>
      <c r="D41">
        <v>24</v>
      </c>
      <c r="E41" t="s">
        <v>34</v>
      </c>
      <c r="F41">
        <v>0.2</v>
      </c>
      <c r="G41" t="str">
        <f t="shared" si="0"/>
        <v>0-1 yrs</v>
      </c>
      <c r="H41" t="s">
        <v>29</v>
      </c>
      <c r="I41">
        <v>4</v>
      </c>
      <c r="J41" t="s">
        <v>1</v>
      </c>
      <c r="K41" t="s">
        <v>1</v>
      </c>
      <c r="L41" t="s">
        <v>27</v>
      </c>
    </row>
    <row r="42" spans="1:12">
      <c r="A42">
        <v>1041</v>
      </c>
      <c r="B42" t="s">
        <v>7</v>
      </c>
      <c r="C42" t="s">
        <v>41</v>
      </c>
      <c r="D42">
        <v>47</v>
      </c>
      <c r="E42" t="s">
        <v>34</v>
      </c>
      <c r="F42">
        <v>9.1</v>
      </c>
      <c r="G42" t="str">
        <f t="shared" si="0"/>
        <v>7+ yrs</v>
      </c>
      <c r="H42" t="s">
        <v>26</v>
      </c>
      <c r="I42">
        <v>2</v>
      </c>
      <c r="J42" t="s">
        <v>30</v>
      </c>
      <c r="K42" t="s">
        <v>1</v>
      </c>
      <c r="L42" t="s">
        <v>35</v>
      </c>
    </row>
    <row r="43" spans="1:11">
      <c r="A43">
        <v>1042</v>
      </c>
      <c r="B43" t="s">
        <v>7</v>
      </c>
      <c r="C43" t="s">
        <v>40</v>
      </c>
      <c r="D43">
        <v>56</v>
      </c>
      <c r="E43" t="s">
        <v>25</v>
      </c>
      <c r="F43">
        <v>0.8</v>
      </c>
      <c r="G43" t="str">
        <f t="shared" si="0"/>
        <v>0-1 yrs</v>
      </c>
      <c r="H43" t="s">
        <v>29</v>
      </c>
      <c r="I43">
        <v>2</v>
      </c>
      <c r="J43" t="s">
        <v>30</v>
      </c>
      <c r="K43" t="s">
        <v>30</v>
      </c>
    </row>
    <row r="44" spans="1:11">
      <c r="A44">
        <v>1043</v>
      </c>
      <c r="B44" t="s">
        <v>7</v>
      </c>
      <c r="C44" t="s">
        <v>42</v>
      </c>
      <c r="D44">
        <v>25</v>
      </c>
      <c r="E44" t="s">
        <v>34</v>
      </c>
      <c r="F44">
        <v>2.9</v>
      </c>
      <c r="G44" t="str">
        <f t="shared" si="0"/>
        <v>1-3 yrs</v>
      </c>
      <c r="H44" t="s">
        <v>26</v>
      </c>
      <c r="I44">
        <v>3</v>
      </c>
      <c r="J44" t="s">
        <v>30</v>
      </c>
      <c r="K44" t="s">
        <v>30</v>
      </c>
    </row>
    <row r="45" spans="1:12">
      <c r="A45">
        <v>1044</v>
      </c>
      <c r="B45" t="s">
        <v>7</v>
      </c>
      <c r="C45" t="s">
        <v>40</v>
      </c>
      <c r="D45">
        <v>29</v>
      </c>
      <c r="E45" t="s">
        <v>25</v>
      </c>
      <c r="F45">
        <v>1</v>
      </c>
      <c r="G45" t="str">
        <f t="shared" si="0"/>
        <v>1-3 yrs</v>
      </c>
      <c r="H45" t="s">
        <v>26</v>
      </c>
      <c r="I45">
        <v>4</v>
      </c>
      <c r="J45" t="s">
        <v>30</v>
      </c>
      <c r="K45" t="s">
        <v>1</v>
      </c>
      <c r="L45" t="s">
        <v>35</v>
      </c>
    </row>
    <row r="46" spans="1:11">
      <c r="A46">
        <v>1045</v>
      </c>
      <c r="B46" t="s">
        <v>7</v>
      </c>
      <c r="C46" t="s">
        <v>42</v>
      </c>
      <c r="D46">
        <v>38</v>
      </c>
      <c r="E46" t="s">
        <v>25</v>
      </c>
      <c r="F46">
        <v>2.1</v>
      </c>
      <c r="G46" t="str">
        <f t="shared" si="0"/>
        <v>1-3 yrs</v>
      </c>
      <c r="H46" t="s">
        <v>26</v>
      </c>
      <c r="I46">
        <v>4</v>
      </c>
      <c r="J46" t="s">
        <v>1</v>
      </c>
      <c r="K46" t="s">
        <v>30</v>
      </c>
    </row>
    <row r="47" spans="1:11">
      <c r="A47">
        <v>1046</v>
      </c>
      <c r="B47" t="s">
        <v>7</v>
      </c>
      <c r="C47" t="s">
        <v>41</v>
      </c>
      <c r="D47">
        <v>24</v>
      </c>
      <c r="E47" t="s">
        <v>25</v>
      </c>
      <c r="F47">
        <v>1.3</v>
      </c>
      <c r="G47" t="str">
        <f t="shared" si="0"/>
        <v>1-3 yrs</v>
      </c>
      <c r="H47" t="s">
        <v>26</v>
      </c>
      <c r="I47">
        <v>3</v>
      </c>
      <c r="J47" t="s">
        <v>30</v>
      </c>
      <c r="K47" t="s">
        <v>30</v>
      </c>
    </row>
    <row r="48" spans="1:11">
      <c r="A48">
        <v>1047</v>
      </c>
      <c r="B48" t="s">
        <v>7</v>
      </c>
      <c r="C48" t="s">
        <v>41</v>
      </c>
      <c r="D48">
        <v>47</v>
      </c>
      <c r="E48" t="s">
        <v>25</v>
      </c>
      <c r="F48">
        <v>1.6</v>
      </c>
      <c r="G48" t="str">
        <f t="shared" si="0"/>
        <v>1-3 yrs</v>
      </c>
      <c r="H48" t="s">
        <v>26</v>
      </c>
      <c r="I48">
        <v>1</v>
      </c>
      <c r="J48" t="s">
        <v>30</v>
      </c>
      <c r="K48" t="s">
        <v>30</v>
      </c>
    </row>
    <row r="49" spans="1:11">
      <c r="A49">
        <v>1048</v>
      </c>
      <c r="B49" t="s">
        <v>7</v>
      </c>
      <c r="C49" t="s">
        <v>41</v>
      </c>
      <c r="D49">
        <v>32</v>
      </c>
      <c r="E49" t="s">
        <v>25</v>
      </c>
      <c r="F49">
        <v>0.8</v>
      </c>
      <c r="G49" t="str">
        <f t="shared" si="0"/>
        <v>0-1 yrs</v>
      </c>
      <c r="H49" t="s">
        <v>37</v>
      </c>
      <c r="I49">
        <v>2</v>
      </c>
      <c r="J49" t="s">
        <v>30</v>
      </c>
      <c r="K49" t="s">
        <v>30</v>
      </c>
    </row>
    <row r="50" spans="1:11">
      <c r="A50">
        <v>1049</v>
      </c>
      <c r="B50" t="s">
        <v>7</v>
      </c>
      <c r="C50" t="s">
        <v>40</v>
      </c>
      <c r="D50">
        <v>52</v>
      </c>
      <c r="E50" t="s">
        <v>25</v>
      </c>
      <c r="F50">
        <v>5.1</v>
      </c>
      <c r="G50" t="str">
        <f t="shared" si="0"/>
        <v>3-7 yrs</v>
      </c>
      <c r="H50" t="s">
        <v>29</v>
      </c>
      <c r="I50">
        <v>5</v>
      </c>
      <c r="J50" t="s">
        <v>1</v>
      </c>
      <c r="K50" t="s">
        <v>30</v>
      </c>
    </row>
    <row r="51" spans="1:11">
      <c r="A51">
        <v>1050</v>
      </c>
      <c r="B51" t="s">
        <v>7</v>
      </c>
      <c r="C51" t="s">
        <v>40</v>
      </c>
      <c r="D51">
        <v>25</v>
      </c>
      <c r="E51" t="s">
        <v>25</v>
      </c>
      <c r="F51">
        <v>0.5</v>
      </c>
      <c r="G51" t="str">
        <f t="shared" si="0"/>
        <v>0-1 yrs</v>
      </c>
      <c r="H51" t="s">
        <v>29</v>
      </c>
      <c r="I51">
        <v>3</v>
      </c>
      <c r="J51" t="s">
        <v>30</v>
      </c>
      <c r="K51" t="s">
        <v>30</v>
      </c>
    </row>
    <row r="52" spans="1:11">
      <c r="A52">
        <v>1051</v>
      </c>
      <c r="B52" t="s">
        <v>7</v>
      </c>
      <c r="C52" t="s">
        <v>42</v>
      </c>
      <c r="D52">
        <v>48</v>
      </c>
      <c r="E52" t="s">
        <v>25</v>
      </c>
      <c r="F52">
        <v>7</v>
      </c>
      <c r="G52" t="str">
        <f t="shared" si="0"/>
        <v>7+ yrs</v>
      </c>
      <c r="H52" t="s">
        <v>26</v>
      </c>
      <c r="I52">
        <v>3</v>
      </c>
      <c r="J52" t="s">
        <v>1</v>
      </c>
      <c r="K52" t="s">
        <v>30</v>
      </c>
    </row>
    <row r="53" spans="1:11">
      <c r="A53">
        <v>1052</v>
      </c>
      <c r="B53" t="s">
        <v>7</v>
      </c>
      <c r="C53" t="s">
        <v>42</v>
      </c>
      <c r="D53">
        <v>44</v>
      </c>
      <c r="E53" t="s">
        <v>25</v>
      </c>
      <c r="F53">
        <v>5.3</v>
      </c>
      <c r="G53" t="str">
        <f t="shared" si="0"/>
        <v>3-7 yrs</v>
      </c>
      <c r="H53" t="s">
        <v>29</v>
      </c>
      <c r="I53">
        <v>3</v>
      </c>
      <c r="J53" t="s">
        <v>30</v>
      </c>
      <c r="K53" t="s">
        <v>30</v>
      </c>
    </row>
    <row r="54" spans="1:12">
      <c r="A54">
        <v>1053</v>
      </c>
      <c r="B54" t="s">
        <v>7</v>
      </c>
      <c r="C54" t="s">
        <v>40</v>
      </c>
      <c r="D54">
        <v>24</v>
      </c>
      <c r="E54" t="s">
        <v>34</v>
      </c>
      <c r="F54">
        <v>0</v>
      </c>
      <c r="G54" t="str">
        <f t="shared" si="0"/>
        <v>0-1 yrs</v>
      </c>
      <c r="H54" t="s">
        <v>29</v>
      </c>
      <c r="I54">
        <v>2</v>
      </c>
      <c r="J54" t="s">
        <v>30</v>
      </c>
      <c r="K54" t="s">
        <v>1</v>
      </c>
      <c r="L54" t="s">
        <v>27</v>
      </c>
    </row>
    <row r="55" spans="1:11">
      <c r="A55">
        <v>1054</v>
      </c>
      <c r="B55" t="s">
        <v>7</v>
      </c>
      <c r="C55" t="s">
        <v>42</v>
      </c>
      <c r="D55">
        <v>45</v>
      </c>
      <c r="E55" t="s">
        <v>25</v>
      </c>
      <c r="F55">
        <v>4.4</v>
      </c>
      <c r="G55" t="str">
        <f t="shared" si="0"/>
        <v>3-7 yrs</v>
      </c>
      <c r="H55" t="s">
        <v>37</v>
      </c>
      <c r="I55">
        <v>3</v>
      </c>
      <c r="J55" t="s">
        <v>30</v>
      </c>
      <c r="K55" t="s">
        <v>30</v>
      </c>
    </row>
    <row r="56" spans="1:11">
      <c r="A56">
        <v>1055</v>
      </c>
      <c r="B56" t="s">
        <v>7</v>
      </c>
      <c r="C56" t="s">
        <v>41</v>
      </c>
      <c r="D56">
        <v>35</v>
      </c>
      <c r="E56" t="s">
        <v>25</v>
      </c>
      <c r="F56">
        <v>6.2</v>
      </c>
      <c r="G56" t="str">
        <f t="shared" si="0"/>
        <v>3-7 yrs</v>
      </c>
      <c r="H56" t="s">
        <v>29</v>
      </c>
      <c r="I56">
        <v>4</v>
      </c>
      <c r="J56" t="s">
        <v>30</v>
      </c>
      <c r="K56" t="s">
        <v>30</v>
      </c>
    </row>
    <row r="57" spans="1:11">
      <c r="A57">
        <v>1056</v>
      </c>
      <c r="B57" t="s">
        <v>7</v>
      </c>
      <c r="C57" t="s">
        <v>41</v>
      </c>
      <c r="D57">
        <v>49</v>
      </c>
      <c r="E57" t="s">
        <v>25</v>
      </c>
      <c r="F57">
        <v>1.9</v>
      </c>
      <c r="G57" t="str">
        <f t="shared" si="0"/>
        <v>1-3 yrs</v>
      </c>
      <c r="H57" t="s">
        <v>26</v>
      </c>
      <c r="I57">
        <v>4</v>
      </c>
      <c r="J57" t="s">
        <v>1</v>
      </c>
      <c r="K57" t="s">
        <v>30</v>
      </c>
    </row>
    <row r="58" spans="1:11">
      <c r="A58">
        <v>1057</v>
      </c>
      <c r="B58" t="s">
        <v>7</v>
      </c>
      <c r="C58" t="s">
        <v>41</v>
      </c>
      <c r="D58">
        <v>26</v>
      </c>
      <c r="E58" t="s">
        <v>25</v>
      </c>
      <c r="F58">
        <v>3.3</v>
      </c>
      <c r="G58" t="str">
        <f t="shared" si="0"/>
        <v>3-7 yrs</v>
      </c>
      <c r="H58" t="s">
        <v>29</v>
      </c>
      <c r="I58">
        <v>5</v>
      </c>
      <c r="J58" t="s">
        <v>1</v>
      </c>
      <c r="K58" t="s">
        <v>30</v>
      </c>
    </row>
    <row r="59" spans="1:11">
      <c r="A59">
        <v>1058</v>
      </c>
      <c r="B59" t="s">
        <v>7</v>
      </c>
      <c r="C59" t="s">
        <v>41</v>
      </c>
      <c r="D59">
        <v>42</v>
      </c>
      <c r="E59" t="s">
        <v>25</v>
      </c>
      <c r="F59">
        <v>11.8</v>
      </c>
      <c r="G59" t="str">
        <f t="shared" si="0"/>
        <v>7+ yrs</v>
      </c>
      <c r="H59" t="s">
        <v>37</v>
      </c>
      <c r="I59">
        <v>3</v>
      </c>
      <c r="J59" t="s">
        <v>30</v>
      </c>
      <c r="K59" t="s">
        <v>30</v>
      </c>
    </row>
    <row r="60" spans="1:11">
      <c r="A60">
        <v>1059</v>
      </c>
      <c r="B60" t="s">
        <v>7</v>
      </c>
      <c r="C60" t="s">
        <v>40</v>
      </c>
      <c r="D60">
        <v>42</v>
      </c>
      <c r="E60" t="s">
        <v>34</v>
      </c>
      <c r="F60">
        <v>2.9</v>
      </c>
      <c r="G60" t="str">
        <f t="shared" si="0"/>
        <v>1-3 yrs</v>
      </c>
      <c r="H60" t="s">
        <v>29</v>
      </c>
      <c r="I60">
        <v>4</v>
      </c>
      <c r="J60" t="s">
        <v>30</v>
      </c>
      <c r="K60" t="s">
        <v>30</v>
      </c>
    </row>
    <row r="61" spans="1:11">
      <c r="A61">
        <v>1060</v>
      </c>
      <c r="B61" t="s">
        <v>7</v>
      </c>
      <c r="C61" t="s">
        <v>40</v>
      </c>
      <c r="D61">
        <v>58</v>
      </c>
      <c r="E61" t="s">
        <v>25</v>
      </c>
      <c r="F61">
        <v>0.8</v>
      </c>
      <c r="G61" t="str">
        <f t="shared" si="0"/>
        <v>0-1 yrs</v>
      </c>
      <c r="H61" t="s">
        <v>37</v>
      </c>
      <c r="I61">
        <v>3</v>
      </c>
      <c r="J61" t="s">
        <v>1</v>
      </c>
      <c r="K61" t="s">
        <v>30</v>
      </c>
    </row>
    <row r="62" spans="1:12">
      <c r="A62">
        <v>1061</v>
      </c>
      <c r="B62" t="s">
        <v>7</v>
      </c>
      <c r="C62" t="s">
        <v>41</v>
      </c>
      <c r="D62">
        <v>56</v>
      </c>
      <c r="E62" t="s">
        <v>34</v>
      </c>
      <c r="F62">
        <v>0.6</v>
      </c>
      <c r="G62" t="str">
        <f t="shared" si="0"/>
        <v>0-1 yrs</v>
      </c>
      <c r="H62" t="s">
        <v>29</v>
      </c>
      <c r="I62">
        <v>4</v>
      </c>
      <c r="J62" t="s">
        <v>1</v>
      </c>
      <c r="K62" t="s">
        <v>1</v>
      </c>
      <c r="L62" t="s">
        <v>39</v>
      </c>
    </row>
    <row r="63" spans="1:11">
      <c r="A63">
        <v>1062</v>
      </c>
      <c r="B63" t="s">
        <v>7</v>
      </c>
      <c r="C63" t="s">
        <v>41</v>
      </c>
      <c r="D63">
        <v>42</v>
      </c>
      <c r="E63" t="s">
        <v>34</v>
      </c>
      <c r="F63">
        <v>2.3</v>
      </c>
      <c r="G63" t="str">
        <f t="shared" si="0"/>
        <v>1-3 yrs</v>
      </c>
      <c r="H63" t="s">
        <v>29</v>
      </c>
      <c r="I63">
        <v>4</v>
      </c>
      <c r="J63" t="s">
        <v>30</v>
      </c>
      <c r="K63" t="s">
        <v>30</v>
      </c>
    </row>
    <row r="64" spans="1:11">
      <c r="A64">
        <v>1063</v>
      </c>
      <c r="B64" t="s">
        <v>7</v>
      </c>
      <c r="C64" t="s">
        <v>41</v>
      </c>
      <c r="D64">
        <v>47</v>
      </c>
      <c r="E64" t="s">
        <v>25</v>
      </c>
      <c r="F64">
        <v>2.9</v>
      </c>
      <c r="G64" t="str">
        <f t="shared" si="0"/>
        <v>1-3 yrs</v>
      </c>
      <c r="H64" t="s">
        <v>29</v>
      </c>
      <c r="I64">
        <v>4</v>
      </c>
      <c r="J64" t="s">
        <v>1</v>
      </c>
      <c r="K64" t="s">
        <v>30</v>
      </c>
    </row>
    <row r="65" spans="1:11">
      <c r="A65">
        <v>1064</v>
      </c>
      <c r="B65" t="s">
        <v>7</v>
      </c>
      <c r="C65" t="s">
        <v>41</v>
      </c>
      <c r="D65">
        <v>44</v>
      </c>
      <c r="E65" t="s">
        <v>34</v>
      </c>
      <c r="F65">
        <v>6.6</v>
      </c>
      <c r="G65" t="str">
        <f t="shared" si="0"/>
        <v>3-7 yrs</v>
      </c>
      <c r="H65" t="s">
        <v>26</v>
      </c>
      <c r="I65">
        <v>1</v>
      </c>
      <c r="J65" t="s">
        <v>1</v>
      </c>
      <c r="K65" t="s">
        <v>30</v>
      </c>
    </row>
    <row r="66" spans="1:11">
      <c r="A66">
        <v>1065</v>
      </c>
      <c r="B66" t="s">
        <v>7</v>
      </c>
      <c r="C66" t="s">
        <v>40</v>
      </c>
      <c r="D66">
        <v>31</v>
      </c>
      <c r="E66" t="s">
        <v>34</v>
      </c>
      <c r="F66">
        <v>0.7</v>
      </c>
      <c r="G66" t="str">
        <f t="shared" ref="G66:G129" si="1">IF(F66&lt;1,"0-1 yrs",IF(F66&lt;3,"1-3 yrs",IF(F66&lt;7,"3-7 yrs","7+ yrs")))</f>
        <v>0-1 yrs</v>
      </c>
      <c r="H66" t="s">
        <v>26</v>
      </c>
      <c r="I66">
        <v>3</v>
      </c>
      <c r="J66" t="s">
        <v>30</v>
      </c>
      <c r="K66" t="s">
        <v>30</v>
      </c>
    </row>
    <row r="67" spans="1:12">
      <c r="A67">
        <v>1066</v>
      </c>
      <c r="B67" t="s">
        <v>7</v>
      </c>
      <c r="C67" t="s">
        <v>41</v>
      </c>
      <c r="D67">
        <v>29</v>
      </c>
      <c r="E67" t="s">
        <v>25</v>
      </c>
      <c r="F67">
        <v>2.6</v>
      </c>
      <c r="G67" t="str">
        <f t="shared" si="1"/>
        <v>1-3 yrs</v>
      </c>
      <c r="H67" t="s">
        <v>26</v>
      </c>
      <c r="I67">
        <v>4</v>
      </c>
      <c r="J67" t="s">
        <v>1</v>
      </c>
      <c r="K67" t="s">
        <v>1</v>
      </c>
      <c r="L67" t="s">
        <v>35</v>
      </c>
    </row>
    <row r="68" spans="1:11">
      <c r="A68">
        <v>1067</v>
      </c>
      <c r="B68" t="s">
        <v>6</v>
      </c>
      <c r="C68" t="s">
        <v>43</v>
      </c>
      <c r="D68">
        <v>37</v>
      </c>
      <c r="E68" t="s">
        <v>25</v>
      </c>
      <c r="F68">
        <v>0.6</v>
      </c>
      <c r="G68" t="str">
        <f t="shared" si="1"/>
        <v>0-1 yrs</v>
      </c>
      <c r="H68" t="s">
        <v>26</v>
      </c>
      <c r="I68">
        <v>5</v>
      </c>
      <c r="J68" t="s">
        <v>30</v>
      </c>
      <c r="K68" t="s">
        <v>30</v>
      </c>
    </row>
    <row r="69" spans="1:11">
      <c r="A69">
        <v>1068</v>
      </c>
      <c r="B69" t="s">
        <v>6</v>
      </c>
      <c r="C69" t="s">
        <v>44</v>
      </c>
      <c r="D69">
        <v>53</v>
      </c>
      <c r="E69" t="s">
        <v>25</v>
      </c>
      <c r="F69">
        <v>1.7</v>
      </c>
      <c r="G69" t="str">
        <f t="shared" si="1"/>
        <v>1-3 yrs</v>
      </c>
      <c r="H69" t="s">
        <v>26</v>
      </c>
      <c r="I69">
        <v>3</v>
      </c>
      <c r="J69" t="s">
        <v>1</v>
      </c>
      <c r="K69" t="s">
        <v>30</v>
      </c>
    </row>
    <row r="70" spans="1:11">
      <c r="A70">
        <v>1069</v>
      </c>
      <c r="B70" t="s">
        <v>6</v>
      </c>
      <c r="C70" t="s">
        <v>43</v>
      </c>
      <c r="D70">
        <v>55</v>
      </c>
      <c r="E70" t="s">
        <v>25</v>
      </c>
      <c r="F70">
        <v>14.1</v>
      </c>
      <c r="G70" t="str">
        <f t="shared" si="1"/>
        <v>7+ yrs</v>
      </c>
      <c r="H70" t="s">
        <v>26</v>
      </c>
      <c r="I70">
        <v>3</v>
      </c>
      <c r="J70" t="s">
        <v>30</v>
      </c>
      <c r="K70" t="s">
        <v>30</v>
      </c>
    </row>
    <row r="71" spans="1:12">
      <c r="A71">
        <v>1070</v>
      </c>
      <c r="B71" t="s">
        <v>6</v>
      </c>
      <c r="C71" t="s">
        <v>43</v>
      </c>
      <c r="D71">
        <v>48</v>
      </c>
      <c r="E71" t="s">
        <v>34</v>
      </c>
      <c r="F71">
        <v>0.8</v>
      </c>
      <c r="G71" t="str">
        <f t="shared" si="1"/>
        <v>0-1 yrs</v>
      </c>
      <c r="H71" t="s">
        <v>26</v>
      </c>
      <c r="I71">
        <v>2</v>
      </c>
      <c r="J71" t="s">
        <v>30</v>
      </c>
      <c r="K71" t="s">
        <v>1</v>
      </c>
      <c r="L71" t="s">
        <v>38</v>
      </c>
    </row>
    <row r="72" spans="1:11">
      <c r="A72">
        <v>1071</v>
      </c>
      <c r="B72" t="s">
        <v>6</v>
      </c>
      <c r="C72" t="s">
        <v>43</v>
      </c>
      <c r="D72">
        <v>31</v>
      </c>
      <c r="E72" t="s">
        <v>34</v>
      </c>
      <c r="F72">
        <v>1.5</v>
      </c>
      <c r="G72" t="str">
        <f t="shared" si="1"/>
        <v>1-3 yrs</v>
      </c>
      <c r="H72" t="s">
        <v>29</v>
      </c>
      <c r="I72">
        <v>4</v>
      </c>
      <c r="J72" t="s">
        <v>30</v>
      </c>
      <c r="K72" t="s">
        <v>30</v>
      </c>
    </row>
    <row r="73" spans="1:12">
      <c r="A73">
        <v>1072</v>
      </c>
      <c r="B73" t="s">
        <v>6</v>
      </c>
      <c r="C73" t="s">
        <v>43</v>
      </c>
      <c r="D73">
        <v>23</v>
      </c>
      <c r="E73" t="s">
        <v>34</v>
      </c>
      <c r="F73">
        <v>0.4</v>
      </c>
      <c r="G73" t="str">
        <f t="shared" si="1"/>
        <v>0-1 yrs</v>
      </c>
      <c r="H73" t="s">
        <v>26</v>
      </c>
      <c r="I73">
        <v>2</v>
      </c>
      <c r="J73" t="s">
        <v>30</v>
      </c>
      <c r="K73" t="s">
        <v>1</v>
      </c>
      <c r="L73" t="s">
        <v>35</v>
      </c>
    </row>
    <row r="74" spans="1:11">
      <c r="A74">
        <v>1073</v>
      </c>
      <c r="B74" t="s">
        <v>6</v>
      </c>
      <c r="C74" t="s">
        <v>44</v>
      </c>
      <c r="D74">
        <v>47</v>
      </c>
      <c r="E74" t="s">
        <v>34</v>
      </c>
      <c r="F74">
        <v>0.6</v>
      </c>
      <c r="G74" t="str">
        <f t="shared" si="1"/>
        <v>0-1 yrs</v>
      </c>
      <c r="H74" t="s">
        <v>29</v>
      </c>
      <c r="I74">
        <v>3</v>
      </c>
      <c r="J74" t="s">
        <v>30</v>
      </c>
      <c r="K74" t="s">
        <v>30</v>
      </c>
    </row>
    <row r="75" spans="1:11">
      <c r="A75">
        <v>1074</v>
      </c>
      <c r="B75" t="s">
        <v>6</v>
      </c>
      <c r="C75" t="s">
        <v>43</v>
      </c>
      <c r="D75">
        <v>29</v>
      </c>
      <c r="E75" t="s">
        <v>25</v>
      </c>
      <c r="F75">
        <v>1.8</v>
      </c>
      <c r="G75" t="str">
        <f t="shared" si="1"/>
        <v>1-3 yrs</v>
      </c>
      <c r="H75" t="s">
        <v>26</v>
      </c>
      <c r="I75">
        <v>5</v>
      </c>
      <c r="J75" t="s">
        <v>30</v>
      </c>
      <c r="K75" t="s">
        <v>30</v>
      </c>
    </row>
    <row r="76" spans="1:12">
      <c r="A76">
        <v>1075</v>
      </c>
      <c r="B76" t="s">
        <v>6</v>
      </c>
      <c r="C76" t="s">
        <v>44</v>
      </c>
      <c r="D76">
        <v>31</v>
      </c>
      <c r="E76" t="s">
        <v>25</v>
      </c>
      <c r="F76">
        <v>6</v>
      </c>
      <c r="G76" t="str">
        <f t="shared" si="1"/>
        <v>3-7 yrs</v>
      </c>
      <c r="H76" t="s">
        <v>29</v>
      </c>
      <c r="I76">
        <v>3</v>
      </c>
      <c r="J76" t="s">
        <v>30</v>
      </c>
      <c r="K76" t="s">
        <v>1</v>
      </c>
      <c r="L76" t="s">
        <v>35</v>
      </c>
    </row>
    <row r="77" spans="1:12">
      <c r="A77">
        <v>1076</v>
      </c>
      <c r="B77" t="s">
        <v>6</v>
      </c>
      <c r="C77" t="s">
        <v>44</v>
      </c>
      <c r="D77">
        <v>58</v>
      </c>
      <c r="E77" t="s">
        <v>25</v>
      </c>
      <c r="F77">
        <v>0.7</v>
      </c>
      <c r="G77" t="str">
        <f t="shared" si="1"/>
        <v>0-1 yrs</v>
      </c>
      <c r="H77" t="s">
        <v>29</v>
      </c>
      <c r="I77">
        <v>4</v>
      </c>
      <c r="J77" t="s">
        <v>1</v>
      </c>
      <c r="K77" t="s">
        <v>1</v>
      </c>
      <c r="L77" t="s">
        <v>39</v>
      </c>
    </row>
    <row r="78" spans="1:11">
      <c r="A78">
        <v>1077</v>
      </c>
      <c r="B78" t="s">
        <v>6</v>
      </c>
      <c r="C78" t="s">
        <v>43</v>
      </c>
      <c r="D78">
        <v>51</v>
      </c>
      <c r="E78" t="s">
        <v>34</v>
      </c>
      <c r="F78">
        <v>6.9</v>
      </c>
      <c r="G78" t="str">
        <f t="shared" si="1"/>
        <v>3-7 yrs</v>
      </c>
      <c r="H78" t="s">
        <v>37</v>
      </c>
      <c r="I78">
        <v>3</v>
      </c>
      <c r="J78" t="s">
        <v>30</v>
      </c>
      <c r="K78" t="s">
        <v>30</v>
      </c>
    </row>
    <row r="79" spans="1:11">
      <c r="A79">
        <v>1078</v>
      </c>
      <c r="B79" t="s">
        <v>6</v>
      </c>
      <c r="C79" t="s">
        <v>43</v>
      </c>
      <c r="D79">
        <v>31</v>
      </c>
      <c r="E79" t="s">
        <v>25</v>
      </c>
      <c r="F79">
        <v>5.5</v>
      </c>
      <c r="G79" t="str">
        <f t="shared" si="1"/>
        <v>3-7 yrs</v>
      </c>
      <c r="H79" t="s">
        <v>37</v>
      </c>
      <c r="I79">
        <v>4</v>
      </c>
      <c r="J79" t="s">
        <v>30</v>
      </c>
      <c r="K79" t="s">
        <v>30</v>
      </c>
    </row>
    <row r="80" spans="1:12">
      <c r="A80">
        <v>1079</v>
      </c>
      <c r="B80" t="s">
        <v>6</v>
      </c>
      <c r="C80" t="s">
        <v>43</v>
      </c>
      <c r="D80">
        <v>23</v>
      </c>
      <c r="E80" t="s">
        <v>25</v>
      </c>
      <c r="F80">
        <v>1.7</v>
      </c>
      <c r="G80" t="str">
        <f t="shared" si="1"/>
        <v>1-3 yrs</v>
      </c>
      <c r="H80" t="s">
        <v>26</v>
      </c>
      <c r="I80">
        <v>4</v>
      </c>
      <c r="J80" t="s">
        <v>30</v>
      </c>
      <c r="K80" t="s">
        <v>1</v>
      </c>
      <c r="L80" t="s">
        <v>36</v>
      </c>
    </row>
    <row r="81" spans="1:11">
      <c r="A81">
        <v>1080</v>
      </c>
      <c r="B81" t="s">
        <v>6</v>
      </c>
      <c r="C81" t="s">
        <v>44</v>
      </c>
      <c r="D81">
        <v>41</v>
      </c>
      <c r="E81" t="s">
        <v>34</v>
      </c>
      <c r="F81">
        <v>12.7</v>
      </c>
      <c r="G81" t="str">
        <f t="shared" si="1"/>
        <v>7+ yrs</v>
      </c>
      <c r="H81" t="s">
        <v>26</v>
      </c>
      <c r="I81">
        <v>1</v>
      </c>
      <c r="J81" t="s">
        <v>30</v>
      </c>
      <c r="K81" t="s">
        <v>30</v>
      </c>
    </row>
    <row r="82" spans="1:12">
      <c r="A82">
        <v>1081</v>
      </c>
      <c r="B82" t="s">
        <v>6</v>
      </c>
      <c r="C82" t="s">
        <v>43</v>
      </c>
      <c r="D82">
        <v>30</v>
      </c>
      <c r="E82" t="s">
        <v>34</v>
      </c>
      <c r="F82">
        <v>7.7</v>
      </c>
      <c r="G82" t="str">
        <f t="shared" si="1"/>
        <v>7+ yrs</v>
      </c>
      <c r="H82" t="s">
        <v>26</v>
      </c>
      <c r="I82">
        <v>2</v>
      </c>
      <c r="J82" t="s">
        <v>30</v>
      </c>
      <c r="K82" t="s">
        <v>1</v>
      </c>
      <c r="L82" t="s">
        <v>36</v>
      </c>
    </row>
    <row r="83" spans="1:11">
      <c r="A83">
        <v>1082</v>
      </c>
      <c r="B83" t="s">
        <v>6</v>
      </c>
      <c r="C83" t="s">
        <v>44</v>
      </c>
      <c r="D83">
        <v>56</v>
      </c>
      <c r="E83" t="s">
        <v>34</v>
      </c>
      <c r="F83">
        <v>6.6</v>
      </c>
      <c r="G83" t="str">
        <f t="shared" si="1"/>
        <v>3-7 yrs</v>
      </c>
      <c r="H83" t="s">
        <v>29</v>
      </c>
      <c r="I83">
        <v>4</v>
      </c>
      <c r="J83" t="s">
        <v>1</v>
      </c>
      <c r="K83" t="s">
        <v>30</v>
      </c>
    </row>
    <row r="84" spans="1:12">
      <c r="A84">
        <v>1083</v>
      </c>
      <c r="B84" t="s">
        <v>6</v>
      </c>
      <c r="C84" t="s">
        <v>44</v>
      </c>
      <c r="D84">
        <v>37</v>
      </c>
      <c r="E84" t="s">
        <v>25</v>
      </c>
      <c r="F84">
        <v>0.8</v>
      </c>
      <c r="G84" t="str">
        <f t="shared" si="1"/>
        <v>0-1 yrs</v>
      </c>
      <c r="H84" t="s">
        <v>26</v>
      </c>
      <c r="I84">
        <v>5</v>
      </c>
      <c r="J84" t="s">
        <v>30</v>
      </c>
      <c r="K84" t="s">
        <v>1</v>
      </c>
      <c r="L84" t="s">
        <v>27</v>
      </c>
    </row>
    <row r="85" spans="1:12">
      <c r="A85">
        <v>1084</v>
      </c>
      <c r="B85" t="s">
        <v>6</v>
      </c>
      <c r="C85" t="s">
        <v>43</v>
      </c>
      <c r="D85">
        <v>46</v>
      </c>
      <c r="E85" t="s">
        <v>34</v>
      </c>
      <c r="F85">
        <v>0.2</v>
      </c>
      <c r="G85" t="str">
        <f t="shared" si="1"/>
        <v>0-1 yrs</v>
      </c>
      <c r="H85" t="s">
        <v>29</v>
      </c>
      <c r="I85">
        <v>3</v>
      </c>
      <c r="J85" t="s">
        <v>1</v>
      </c>
      <c r="K85" t="s">
        <v>1</v>
      </c>
      <c r="L85" t="s">
        <v>35</v>
      </c>
    </row>
    <row r="86" spans="1:11">
      <c r="A86">
        <v>1085</v>
      </c>
      <c r="B86" t="s">
        <v>6</v>
      </c>
      <c r="C86" t="s">
        <v>43</v>
      </c>
      <c r="D86">
        <v>25</v>
      </c>
      <c r="E86" t="s">
        <v>34</v>
      </c>
      <c r="F86">
        <v>0.7</v>
      </c>
      <c r="G86" t="str">
        <f t="shared" si="1"/>
        <v>0-1 yrs</v>
      </c>
      <c r="H86" t="s">
        <v>26</v>
      </c>
      <c r="I86">
        <v>4</v>
      </c>
      <c r="J86" t="s">
        <v>30</v>
      </c>
      <c r="K86" t="s">
        <v>30</v>
      </c>
    </row>
    <row r="87" spans="1:11">
      <c r="A87">
        <v>1086</v>
      </c>
      <c r="B87" t="s">
        <v>6</v>
      </c>
      <c r="C87" t="s">
        <v>44</v>
      </c>
      <c r="D87">
        <v>40</v>
      </c>
      <c r="E87" t="s">
        <v>25</v>
      </c>
      <c r="F87">
        <v>6.6</v>
      </c>
      <c r="G87" t="str">
        <f t="shared" si="1"/>
        <v>3-7 yrs</v>
      </c>
      <c r="H87" t="s">
        <v>26</v>
      </c>
      <c r="I87">
        <v>5</v>
      </c>
      <c r="J87" t="s">
        <v>30</v>
      </c>
      <c r="K87" t="s">
        <v>30</v>
      </c>
    </row>
    <row r="88" spans="1:11">
      <c r="A88">
        <v>1087</v>
      </c>
      <c r="B88" t="s">
        <v>6</v>
      </c>
      <c r="C88" t="s">
        <v>43</v>
      </c>
      <c r="D88">
        <v>49</v>
      </c>
      <c r="E88" t="s">
        <v>25</v>
      </c>
      <c r="F88">
        <v>12.8</v>
      </c>
      <c r="G88" t="str">
        <f t="shared" si="1"/>
        <v>7+ yrs</v>
      </c>
      <c r="H88" t="s">
        <v>26</v>
      </c>
      <c r="I88">
        <v>4</v>
      </c>
      <c r="J88" t="s">
        <v>1</v>
      </c>
      <c r="K88" t="s">
        <v>30</v>
      </c>
    </row>
    <row r="89" spans="1:12">
      <c r="A89">
        <v>1088</v>
      </c>
      <c r="B89" t="s">
        <v>6</v>
      </c>
      <c r="C89" t="s">
        <v>44</v>
      </c>
      <c r="D89">
        <v>26</v>
      </c>
      <c r="E89" t="s">
        <v>34</v>
      </c>
      <c r="F89">
        <v>0.1</v>
      </c>
      <c r="G89" t="str">
        <f t="shared" si="1"/>
        <v>0-1 yrs</v>
      </c>
      <c r="H89" t="s">
        <v>26</v>
      </c>
      <c r="I89">
        <v>3</v>
      </c>
      <c r="J89" t="s">
        <v>1</v>
      </c>
      <c r="K89" t="s">
        <v>1</v>
      </c>
      <c r="L89" t="s">
        <v>38</v>
      </c>
    </row>
    <row r="90" spans="1:12">
      <c r="A90">
        <v>1089</v>
      </c>
      <c r="B90" t="s">
        <v>6</v>
      </c>
      <c r="C90" t="s">
        <v>44</v>
      </c>
      <c r="D90">
        <v>26</v>
      </c>
      <c r="E90" t="s">
        <v>25</v>
      </c>
      <c r="F90">
        <v>6.2</v>
      </c>
      <c r="G90" t="str">
        <f t="shared" si="1"/>
        <v>3-7 yrs</v>
      </c>
      <c r="H90" t="s">
        <v>37</v>
      </c>
      <c r="I90">
        <v>2</v>
      </c>
      <c r="J90" t="s">
        <v>30</v>
      </c>
      <c r="K90" t="s">
        <v>1</v>
      </c>
      <c r="L90" t="s">
        <v>36</v>
      </c>
    </row>
    <row r="91" spans="1:11">
      <c r="A91">
        <v>1090</v>
      </c>
      <c r="B91" t="s">
        <v>6</v>
      </c>
      <c r="C91" t="s">
        <v>43</v>
      </c>
      <c r="D91">
        <v>58</v>
      </c>
      <c r="E91" t="s">
        <v>25</v>
      </c>
      <c r="F91">
        <v>0</v>
      </c>
      <c r="G91" t="str">
        <f t="shared" si="1"/>
        <v>0-1 yrs</v>
      </c>
      <c r="H91" t="s">
        <v>37</v>
      </c>
      <c r="I91">
        <v>3</v>
      </c>
      <c r="J91" t="s">
        <v>1</v>
      </c>
      <c r="K91" t="s">
        <v>30</v>
      </c>
    </row>
    <row r="92" spans="1:11">
      <c r="A92">
        <v>1091</v>
      </c>
      <c r="B92" t="s">
        <v>6</v>
      </c>
      <c r="C92" t="s">
        <v>43</v>
      </c>
      <c r="D92">
        <v>24</v>
      </c>
      <c r="E92" t="s">
        <v>25</v>
      </c>
      <c r="F92">
        <v>11</v>
      </c>
      <c r="G92" t="str">
        <f t="shared" si="1"/>
        <v>7+ yrs</v>
      </c>
      <c r="H92" t="s">
        <v>37</v>
      </c>
      <c r="I92">
        <v>3</v>
      </c>
      <c r="J92" t="s">
        <v>30</v>
      </c>
      <c r="K92" t="s">
        <v>30</v>
      </c>
    </row>
    <row r="93" spans="1:11">
      <c r="A93">
        <v>1092</v>
      </c>
      <c r="B93" t="s">
        <v>6</v>
      </c>
      <c r="C93" t="s">
        <v>44</v>
      </c>
      <c r="D93">
        <v>25</v>
      </c>
      <c r="E93" t="s">
        <v>34</v>
      </c>
      <c r="F93">
        <v>6.6</v>
      </c>
      <c r="G93" t="str">
        <f t="shared" si="1"/>
        <v>3-7 yrs</v>
      </c>
      <c r="H93" t="s">
        <v>26</v>
      </c>
      <c r="I93">
        <v>3</v>
      </c>
      <c r="J93" t="s">
        <v>30</v>
      </c>
      <c r="K93" t="s">
        <v>30</v>
      </c>
    </row>
    <row r="94" spans="1:11">
      <c r="A94">
        <v>1093</v>
      </c>
      <c r="B94" t="s">
        <v>6</v>
      </c>
      <c r="C94" t="s">
        <v>44</v>
      </c>
      <c r="D94">
        <v>28</v>
      </c>
      <c r="E94" t="s">
        <v>25</v>
      </c>
      <c r="F94">
        <v>6.6</v>
      </c>
      <c r="G94" t="str">
        <f t="shared" si="1"/>
        <v>3-7 yrs</v>
      </c>
      <c r="H94" t="s">
        <v>29</v>
      </c>
      <c r="I94">
        <v>5</v>
      </c>
      <c r="J94" t="s">
        <v>30</v>
      </c>
      <c r="K94" t="s">
        <v>30</v>
      </c>
    </row>
    <row r="95" spans="1:11">
      <c r="A95">
        <v>1094</v>
      </c>
      <c r="B95" t="s">
        <v>6</v>
      </c>
      <c r="C95" t="s">
        <v>43</v>
      </c>
      <c r="D95">
        <v>32</v>
      </c>
      <c r="E95" t="s">
        <v>34</v>
      </c>
      <c r="F95">
        <v>5.8</v>
      </c>
      <c r="G95" t="str">
        <f t="shared" si="1"/>
        <v>3-7 yrs</v>
      </c>
      <c r="H95" t="s">
        <v>26</v>
      </c>
      <c r="I95">
        <v>3</v>
      </c>
      <c r="J95" t="s">
        <v>30</v>
      </c>
      <c r="K95" t="s">
        <v>30</v>
      </c>
    </row>
    <row r="96" spans="1:12">
      <c r="A96">
        <v>1095</v>
      </c>
      <c r="B96" t="s">
        <v>6</v>
      </c>
      <c r="C96" t="s">
        <v>44</v>
      </c>
      <c r="D96">
        <v>55</v>
      </c>
      <c r="E96" t="s">
        <v>34</v>
      </c>
      <c r="F96">
        <v>1</v>
      </c>
      <c r="G96" t="str">
        <f t="shared" si="1"/>
        <v>1-3 yrs</v>
      </c>
      <c r="H96" t="s">
        <v>26</v>
      </c>
      <c r="I96">
        <v>2</v>
      </c>
      <c r="J96" t="s">
        <v>30</v>
      </c>
      <c r="K96" t="s">
        <v>1</v>
      </c>
      <c r="L96" t="s">
        <v>39</v>
      </c>
    </row>
    <row r="97" spans="1:12">
      <c r="A97">
        <v>1096</v>
      </c>
      <c r="B97" t="s">
        <v>6</v>
      </c>
      <c r="C97" t="s">
        <v>44</v>
      </c>
      <c r="D97">
        <v>22</v>
      </c>
      <c r="E97" t="s">
        <v>25</v>
      </c>
      <c r="F97">
        <v>8.3</v>
      </c>
      <c r="G97" t="str">
        <f t="shared" si="1"/>
        <v>7+ yrs</v>
      </c>
      <c r="H97" t="s">
        <v>29</v>
      </c>
      <c r="I97">
        <v>3</v>
      </c>
      <c r="J97" t="s">
        <v>30</v>
      </c>
      <c r="K97" t="s">
        <v>1</v>
      </c>
      <c r="L97" t="s">
        <v>38</v>
      </c>
    </row>
    <row r="98" spans="1:11">
      <c r="A98">
        <v>1097</v>
      </c>
      <c r="B98" t="s">
        <v>6</v>
      </c>
      <c r="C98" t="s">
        <v>44</v>
      </c>
      <c r="D98">
        <v>24</v>
      </c>
      <c r="E98" t="s">
        <v>25</v>
      </c>
      <c r="F98">
        <v>0.9</v>
      </c>
      <c r="G98" t="str">
        <f t="shared" si="1"/>
        <v>0-1 yrs</v>
      </c>
      <c r="H98" t="s">
        <v>26</v>
      </c>
      <c r="I98">
        <v>4</v>
      </c>
      <c r="J98" t="s">
        <v>1</v>
      </c>
      <c r="K98" t="s">
        <v>30</v>
      </c>
    </row>
    <row r="99" spans="1:11">
      <c r="A99">
        <v>1098</v>
      </c>
      <c r="B99" t="s">
        <v>10</v>
      </c>
      <c r="C99" t="s">
        <v>45</v>
      </c>
      <c r="D99">
        <v>24</v>
      </c>
      <c r="E99" t="s">
        <v>25</v>
      </c>
      <c r="F99">
        <v>11.2</v>
      </c>
      <c r="G99" t="str">
        <f t="shared" si="1"/>
        <v>7+ yrs</v>
      </c>
      <c r="H99" t="s">
        <v>26</v>
      </c>
      <c r="I99">
        <v>4</v>
      </c>
      <c r="J99" t="s">
        <v>1</v>
      </c>
      <c r="K99" t="s">
        <v>30</v>
      </c>
    </row>
    <row r="100" spans="1:12">
      <c r="A100">
        <v>1099</v>
      </c>
      <c r="B100" t="s">
        <v>10</v>
      </c>
      <c r="C100" t="s">
        <v>46</v>
      </c>
      <c r="D100">
        <v>50</v>
      </c>
      <c r="E100" t="s">
        <v>25</v>
      </c>
      <c r="F100">
        <v>0.8</v>
      </c>
      <c r="G100" t="str">
        <f t="shared" si="1"/>
        <v>0-1 yrs</v>
      </c>
      <c r="H100" t="s">
        <v>29</v>
      </c>
      <c r="I100">
        <v>3</v>
      </c>
      <c r="J100" t="s">
        <v>30</v>
      </c>
      <c r="K100" t="s">
        <v>1</v>
      </c>
      <c r="L100" t="s">
        <v>31</v>
      </c>
    </row>
    <row r="101" spans="1:12">
      <c r="A101">
        <v>1100</v>
      </c>
      <c r="B101" t="s">
        <v>10</v>
      </c>
      <c r="C101" t="s">
        <v>46</v>
      </c>
      <c r="D101">
        <v>33</v>
      </c>
      <c r="E101" t="s">
        <v>25</v>
      </c>
      <c r="F101">
        <v>1</v>
      </c>
      <c r="G101" t="str">
        <f t="shared" si="1"/>
        <v>1-3 yrs</v>
      </c>
      <c r="H101" t="s">
        <v>37</v>
      </c>
      <c r="I101">
        <v>1</v>
      </c>
      <c r="J101" t="s">
        <v>1</v>
      </c>
      <c r="K101" t="s">
        <v>1</v>
      </c>
      <c r="L101" t="s">
        <v>27</v>
      </c>
    </row>
    <row r="102" spans="1:11">
      <c r="A102">
        <v>1101</v>
      </c>
      <c r="B102" t="s">
        <v>10</v>
      </c>
      <c r="C102" t="s">
        <v>46</v>
      </c>
      <c r="D102">
        <v>56</v>
      </c>
      <c r="E102" t="s">
        <v>34</v>
      </c>
      <c r="F102">
        <v>4.7</v>
      </c>
      <c r="G102" t="str">
        <f t="shared" si="1"/>
        <v>3-7 yrs</v>
      </c>
      <c r="H102" t="s">
        <v>26</v>
      </c>
      <c r="I102">
        <v>3</v>
      </c>
      <c r="J102" t="s">
        <v>30</v>
      </c>
      <c r="K102" t="s">
        <v>30</v>
      </c>
    </row>
    <row r="103" spans="1:11">
      <c r="A103">
        <v>1102</v>
      </c>
      <c r="B103" t="s">
        <v>10</v>
      </c>
      <c r="C103" t="s">
        <v>46</v>
      </c>
      <c r="D103">
        <v>46</v>
      </c>
      <c r="E103" t="s">
        <v>25</v>
      </c>
      <c r="F103">
        <v>2</v>
      </c>
      <c r="G103" t="str">
        <f t="shared" si="1"/>
        <v>1-3 yrs</v>
      </c>
      <c r="H103" t="s">
        <v>26</v>
      </c>
      <c r="I103">
        <v>3</v>
      </c>
      <c r="J103" t="s">
        <v>1</v>
      </c>
      <c r="K103" t="s">
        <v>30</v>
      </c>
    </row>
    <row r="104" spans="1:12">
      <c r="A104">
        <v>1103</v>
      </c>
      <c r="B104" t="s">
        <v>10</v>
      </c>
      <c r="C104" t="s">
        <v>45</v>
      </c>
      <c r="D104">
        <v>24</v>
      </c>
      <c r="E104" t="s">
        <v>34</v>
      </c>
      <c r="F104">
        <v>2.5</v>
      </c>
      <c r="G104" t="str">
        <f t="shared" si="1"/>
        <v>1-3 yrs</v>
      </c>
      <c r="H104" t="s">
        <v>29</v>
      </c>
      <c r="I104">
        <v>3</v>
      </c>
      <c r="J104" t="s">
        <v>30</v>
      </c>
      <c r="K104" t="s">
        <v>1</v>
      </c>
      <c r="L104" t="s">
        <v>36</v>
      </c>
    </row>
    <row r="105" spans="1:11">
      <c r="A105">
        <v>1104</v>
      </c>
      <c r="B105" t="s">
        <v>10</v>
      </c>
      <c r="C105" t="s">
        <v>45</v>
      </c>
      <c r="D105">
        <v>41</v>
      </c>
      <c r="E105" t="s">
        <v>25</v>
      </c>
      <c r="F105">
        <v>3.1</v>
      </c>
      <c r="G105" t="str">
        <f t="shared" si="1"/>
        <v>3-7 yrs</v>
      </c>
      <c r="H105" t="s">
        <v>29</v>
      </c>
      <c r="I105">
        <v>2</v>
      </c>
      <c r="J105" t="s">
        <v>30</v>
      </c>
      <c r="K105" t="s">
        <v>30</v>
      </c>
    </row>
    <row r="106" spans="1:11">
      <c r="A106">
        <v>1105</v>
      </c>
      <c r="B106" t="s">
        <v>10</v>
      </c>
      <c r="C106" t="s">
        <v>46</v>
      </c>
      <c r="D106">
        <v>27</v>
      </c>
      <c r="E106" t="s">
        <v>34</v>
      </c>
      <c r="F106">
        <v>0.4</v>
      </c>
      <c r="G106" t="str">
        <f t="shared" si="1"/>
        <v>0-1 yrs</v>
      </c>
      <c r="H106" t="s">
        <v>26</v>
      </c>
      <c r="I106">
        <v>5</v>
      </c>
      <c r="J106" t="s">
        <v>30</v>
      </c>
      <c r="K106" t="s">
        <v>30</v>
      </c>
    </row>
    <row r="107" spans="1:12">
      <c r="A107">
        <v>1106</v>
      </c>
      <c r="B107" t="s">
        <v>10</v>
      </c>
      <c r="C107" t="s">
        <v>46</v>
      </c>
      <c r="D107">
        <v>33</v>
      </c>
      <c r="E107" t="s">
        <v>25</v>
      </c>
      <c r="F107">
        <v>0.9</v>
      </c>
      <c r="G107" t="str">
        <f t="shared" si="1"/>
        <v>0-1 yrs</v>
      </c>
      <c r="H107" t="s">
        <v>29</v>
      </c>
      <c r="I107">
        <v>3</v>
      </c>
      <c r="J107" t="s">
        <v>30</v>
      </c>
      <c r="K107" t="s">
        <v>1</v>
      </c>
      <c r="L107" t="s">
        <v>38</v>
      </c>
    </row>
    <row r="108" spans="1:12">
      <c r="A108">
        <v>1107</v>
      </c>
      <c r="B108" t="s">
        <v>10</v>
      </c>
      <c r="C108" t="s">
        <v>45</v>
      </c>
      <c r="D108">
        <v>47</v>
      </c>
      <c r="E108" t="s">
        <v>34</v>
      </c>
      <c r="F108">
        <v>4.9</v>
      </c>
      <c r="G108" t="str">
        <f t="shared" si="1"/>
        <v>3-7 yrs</v>
      </c>
      <c r="H108" t="s">
        <v>37</v>
      </c>
      <c r="I108">
        <v>3</v>
      </c>
      <c r="J108" t="s">
        <v>30</v>
      </c>
      <c r="K108" t="s">
        <v>1</v>
      </c>
      <c r="L108" t="s">
        <v>27</v>
      </c>
    </row>
    <row r="109" spans="1:11">
      <c r="A109">
        <v>1108</v>
      </c>
      <c r="B109" t="s">
        <v>10</v>
      </c>
      <c r="C109" t="s">
        <v>45</v>
      </c>
      <c r="D109">
        <v>39</v>
      </c>
      <c r="E109" t="s">
        <v>25</v>
      </c>
      <c r="F109">
        <v>2.2</v>
      </c>
      <c r="G109" t="str">
        <f t="shared" si="1"/>
        <v>1-3 yrs</v>
      </c>
      <c r="H109" t="s">
        <v>29</v>
      </c>
      <c r="I109">
        <v>3</v>
      </c>
      <c r="J109" t="s">
        <v>1</v>
      </c>
      <c r="K109" t="s">
        <v>30</v>
      </c>
    </row>
    <row r="110" spans="1:11">
      <c r="A110">
        <v>1109</v>
      </c>
      <c r="B110" t="s">
        <v>10</v>
      </c>
      <c r="C110" t="s">
        <v>46</v>
      </c>
      <c r="D110">
        <v>45</v>
      </c>
      <c r="E110" t="s">
        <v>34</v>
      </c>
      <c r="F110">
        <v>2.4</v>
      </c>
      <c r="G110" t="str">
        <f t="shared" si="1"/>
        <v>1-3 yrs</v>
      </c>
      <c r="H110" t="s">
        <v>26</v>
      </c>
      <c r="I110">
        <v>5</v>
      </c>
      <c r="J110" t="s">
        <v>30</v>
      </c>
      <c r="K110" t="s">
        <v>30</v>
      </c>
    </row>
    <row r="111" spans="1:11">
      <c r="A111">
        <v>1110</v>
      </c>
      <c r="B111" t="s">
        <v>10</v>
      </c>
      <c r="C111" t="s">
        <v>45</v>
      </c>
      <c r="D111">
        <v>55</v>
      </c>
      <c r="E111" t="s">
        <v>34</v>
      </c>
      <c r="F111">
        <v>2.2</v>
      </c>
      <c r="G111" t="str">
        <f t="shared" si="1"/>
        <v>1-3 yrs</v>
      </c>
      <c r="H111" t="s">
        <v>29</v>
      </c>
      <c r="I111">
        <v>3</v>
      </c>
      <c r="J111" t="s">
        <v>30</v>
      </c>
      <c r="K111" t="s">
        <v>30</v>
      </c>
    </row>
    <row r="112" spans="1:11">
      <c r="A112">
        <v>1111</v>
      </c>
      <c r="B112" t="s">
        <v>10</v>
      </c>
      <c r="C112" t="s">
        <v>46</v>
      </c>
      <c r="D112">
        <v>30</v>
      </c>
      <c r="E112" t="s">
        <v>25</v>
      </c>
      <c r="F112">
        <v>4.5</v>
      </c>
      <c r="G112" t="str">
        <f t="shared" si="1"/>
        <v>3-7 yrs</v>
      </c>
      <c r="H112" t="s">
        <v>26</v>
      </c>
      <c r="I112">
        <v>3</v>
      </c>
      <c r="J112" t="s">
        <v>30</v>
      </c>
      <c r="K112" t="s">
        <v>30</v>
      </c>
    </row>
    <row r="113" spans="1:11">
      <c r="A113">
        <v>1112</v>
      </c>
      <c r="B113" t="s">
        <v>10</v>
      </c>
      <c r="C113" t="s">
        <v>45</v>
      </c>
      <c r="D113">
        <v>40</v>
      </c>
      <c r="E113" t="s">
        <v>25</v>
      </c>
      <c r="F113">
        <v>3.2</v>
      </c>
      <c r="G113" t="str">
        <f t="shared" si="1"/>
        <v>3-7 yrs</v>
      </c>
      <c r="H113" t="s">
        <v>37</v>
      </c>
      <c r="I113">
        <v>5</v>
      </c>
      <c r="J113" t="s">
        <v>1</v>
      </c>
      <c r="K113" t="s">
        <v>30</v>
      </c>
    </row>
    <row r="114" spans="1:11">
      <c r="A114">
        <v>1113</v>
      </c>
      <c r="B114" t="s">
        <v>10</v>
      </c>
      <c r="C114" t="s">
        <v>45</v>
      </c>
      <c r="D114">
        <v>35</v>
      </c>
      <c r="E114" t="s">
        <v>25</v>
      </c>
      <c r="F114">
        <v>6.5</v>
      </c>
      <c r="G114" t="str">
        <f t="shared" si="1"/>
        <v>3-7 yrs</v>
      </c>
      <c r="H114" t="s">
        <v>26</v>
      </c>
      <c r="I114">
        <v>2</v>
      </c>
      <c r="J114" t="s">
        <v>30</v>
      </c>
      <c r="K114" t="s">
        <v>30</v>
      </c>
    </row>
    <row r="115" spans="1:11">
      <c r="A115">
        <v>1114</v>
      </c>
      <c r="B115" t="s">
        <v>10</v>
      </c>
      <c r="C115" t="s">
        <v>45</v>
      </c>
      <c r="D115">
        <v>43</v>
      </c>
      <c r="E115" t="s">
        <v>25</v>
      </c>
      <c r="F115">
        <v>1.6</v>
      </c>
      <c r="G115" t="str">
        <f t="shared" si="1"/>
        <v>1-3 yrs</v>
      </c>
      <c r="H115" t="s">
        <v>26</v>
      </c>
      <c r="I115">
        <v>4</v>
      </c>
      <c r="J115" t="s">
        <v>30</v>
      </c>
      <c r="K115" t="s">
        <v>30</v>
      </c>
    </row>
    <row r="116" spans="1:11">
      <c r="A116">
        <v>1115</v>
      </c>
      <c r="B116" t="s">
        <v>10</v>
      </c>
      <c r="C116" t="s">
        <v>46</v>
      </c>
      <c r="D116">
        <v>49</v>
      </c>
      <c r="E116" t="s">
        <v>34</v>
      </c>
      <c r="F116">
        <v>9.5</v>
      </c>
      <c r="G116" t="str">
        <f t="shared" si="1"/>
        <v>7+ yrs</v>
      </c>
      <c r="H116" t="s">
        <v>29</v>
      </c>
      <c r="I116">
        <v>5</v>
      </c>
      <c r="J116" t="s">
        <v>30</v>
      </c>
      <c r="K116" t="s">
        <v>30</v>
      </c>
    </row>
    <row r="117" spans="1:12">
      <c r="A117">
        <v>1116</v>
      </c>
      <c r="B117" t="s">
        <v>10</v>
      </c>
      <c r="C117" t="s">
        <v>45</v>
      </c>
      <c r="D117">
        <v>46</v>
      </c>
      <c r="E117" t="s">
        <v>25</v>
      </c>
      <c r="F117">
        <v>0.8</v>
      </c>
      <c r="G117" t="str">
        <f t="shared" si="1"/>
        <v>0-1 yrs</v>
      </c>
      <c r="H117" t="s">
        <v>29</v>
      </c>
      <c r="I117">
        <v>5</v>
      </c>
      <c r="J117" t="s">
        <v>30</v>
      </c>
      <c r="K117" t="s">
        <v>1</v>
      </c>
      <c r="L117" t="s">
        <v>27</v>
      </c>
    </row>
    <row r="118" spans="1:11">
      <c r="A118">
        <v>1117</v>
      </c>
      <c r="B118" t="s">
        <v>10</v>
      </c>
      <c r="C118" t="s">
        <v>45</v>
      </c>
      <c r="D118">
        <v>33</v>
      </c>
      <c r="E118" t="s">
        <v>25</v>
      </c>
      <c r="F118">
        <v>6.6</v>
      </c>
      <c r="G118" t="str">
        <f t="shared" si="1"/>
        <v>3-7 yrs</v>
      </c>
      <c r="H118" t="s">
        <v>26</v>
      </c>
      <c r="I118">
        <v>4</v>
      </c>
      <c r="J118" t="s">
        <v>30</v>
      </c>
      <c r="K118" t="s">
        <v>30</v>
      </c>
    </row>
    <row r="119" spans="1:11">
      <c r="A119">
        <v>1118</v>
      </c>
      <c r="B119" t="s">
        <v>10</v>
      </c>
      <c r="C119" t="s">
        <v>45</v>
      </c>
      <c r="D119">
        <v>48</v>
      </c>
      <c r="E119" t="s">
        <v>34</v>
      </c>
      <c r="F119">
        <v>10.1</v>
      </c>
      <c r="G119" t="str">
        <f t="shared" si="1"/>
        <v>7+ yrs</v>
      </c>
      <c r="H119" t="s">
        <v>37</v>
      </c>
      <c r="I119">
        <v>4</v>
      </c>
      <c r="J119" t="s">
        <v>1</v>
      </c>
      <c r="K119" t="s">
        <v>30</v>
      </c>
    </row>
    <row r="120" spans="1:11">
      <c r="A120">
        <v>1119</v>
      </c>
      <c r="B120" t="s">
        <v>10</v>
      </c>
      <c r="C120" t="s">
        <v>45</v>
      </c>
      <c r="D120">
        <v>52</v>
      </c>
      <c r="E120" t="s">
        <v>34</v>
      </c>
      <c r="F120">
        <v>0.1</v>
      </c>
      <c r="G120" t="str">
        <f t="shared" si="1"/>
        <v>0-1 yrs</v>
      </c>
      <c r="H120" t="s">
        <v>37</v>
      </c>
      <c r="I120">
        <v>5</v>
      </c>
      <c r="J120" t="s">
        <v>1</v>
      </c>
      <c r="K120" t="s">
        <v>30</v>
      </c>
    </row>
    <row r="121" spans="1:12">
      <c r="A121">
        <v>1120</v>
      </c>
      <c r="B121" t="s">
        <v>10</v>
      </c>
      <c r="C121" t="s">
        <v>46</v>
      </c>
      <c r="D121">
        <v>57</v>
      </c>
      <c r="E121" t="s">
        <v>34</v>
      </c>
      <c r="F121">
        <v>2.1</v>
      </c>
      <c r="G121" t="str">
        <f t="shared" si="1"/>
        <v>1-3 yrs</v>
      </c>
      <c r="H121" t="s">
        <v>29</v>
      </c>
      <c r="I121">
        <v>1</v>
      </c>
      <c r="J121" t="s">
        <v>30</v>
      </c>
      <c r="K121" t="s">
        <v>1</v>
      </c>
      <c r="L121" t="s">
        <v>31</v>
      </c>
    </row>
    <row r="122" spans="1:11">
      <c r="A122">
        <v>1121</v>
      </c>
      <c r="B122" t="s">
        <v>10</v>
      </c>
      <c r="C122" t="s">
        <v>46</v>
      </c>
      <c r="D122">
        <v>32</v>
      </c>
      <c r="E122" t="s">
        <v>34</v>
      </c>
      <c r="F122">
        <v>1.3</v>
      </c>
      <c r="G122" t="str">
        <f t="shared" si="1"/>
        <v>1-3 yrs</v>
      </c>
      <c r="H122" t="s">
        <v>26</v>
      </c>
      <c r="I122">
        <v>3</v>
      </c>
      <c r="J122" t="s">
        <v>30</v>
      </c>
      <c r="K122" t="s">
        <v>30</v>
      </c>
    </row>
    <row r="123" spans="1:11">
      <c r="A123">
        <v>1122</v>
      </c>
      <c r="B123" t="s">
        <v>10</v>
      </c>
      <c r="C123" t="s">
        <v>45</v>
      </c>
      <c r="D123">
        <v>37</v>
      </c>
      <c r="E123" t="s">
        <v>25</v>
      </c>
      <c r="F123">
        <v>0.3</v>
      </c>
      <c r="G123" t="str">
        <f t="shared" si="1"/>
        <v>0-1 yrs</v>
      </c>
      <c r="H123" t="s">
        <v>37</v>
      </c>
      <c r="I123">
        <v>5</v>
      </c>
      <c r="J123" t="s">
        <v>1</v>
      </c>
      <c r="K123" t="s">
        <v>30</v>
      </c>
    </row>
    <row r="124" spans="1:11">
      <c r="A124">
        <v>1123</v>
      </c>
      <c r="B124" t="s">
        <v>10</v>
      </c>
      <c r="C124" t="s">
        <v>46</v>
      </c>
      <c r="D124">
        <v>54</v>
      </c>
      <c r="E124" t="s">
        <v>25</v>
      </c>
      <c r="F124">
        <v>2.2</v>
      </c>
      <c r="G124" t="str">
        <f t="shared" si="1"/>
        <v>1-3 yrs</v>
      </c>
      <c r="H124" t="s">
        <v>26</v>
      </c>
      <c r="I124">
        <v>4</v>
      </c>
      <c r="J124" t="s">
        <v>30</v>
      </c>
      <c r="K124" t="s">
        <v>30</v>
      </c>
    </row>
    <row r="125" spans="1:11">
      <c r="A125">
        <v>1124</v>
      </c>
      <c r="B125" t="s">
        <v>10</v>
      </c>
      <c r="C125" t="s">
        <v>45</v>
      </c>
      <c r="D125">
        <v>38</v>
      </c>
      <c r="E125" t="s">
        <v>25</v>
      </c>
      <c r="F125">
        <v>4.3</v>
      </c>
      <c r="G125" t="str">
        <f t="shared" si="1"/>
        <v>3-7 yrs</v>
      </c>
      <c r="H125" t="s">
        <v>26</v>
      </c>
      <c r="I125">
        <v>3</v>
      </c>
      <c r="J125" t="s">
        <v>30</v>
      </c>
      <c r="K125" t="s">
        <v>30</v>
      </c>
    </row>
    <row r="126" spans="1:11">
      <c r="A126">
        <v>1125</v>
      </c>
      <c r="B126" t="s">
        <v>10</v>
      </c>
      <c r="C126" t="s">
        <v>45</v>
      </c>
      <c r="D126">
        <v>39</v>
      </c>
      <c r="E126" t="s">
        <v>34</v>
      </c>
      <c r="F126">
        <v>0.1</v>
      </c>
      <c r="G126" t="str">
        <f t="shared" si="1"/>
        <v>0-1 yrs</v>
      </c>
      <c r="H126" t="s">
        <v>26</v>
      </c>
      <c r="I126">
        <v>4</v>
      </c>
      <c r="J126" t="s">
        <v>30</v>
      </c>
      <c r="K126" t="s">
        <v>30</v>
      </c>
    </row>
    <row r="127" spans="1:11">
      <c r="A127">
        <v>1126</v>
      </c>
      <c r="B127" t="s">
        <v>10</v>
      </c>
      <c r="C127" t="s">
        <v>45</v>
      </c>
      <c r="D127">
        <v>39</v>
      </c>
      <c r="E127" t="s">
        <v>25</v>
      </c>
      <c r="F127">
        <v>14.5</v>
      </c>
      <c r="G127" t="str">
        <f t="shared" si="1"/>
        <v>7+ yrs</v>
      </c>
      <c r="H127" t="s">
        <v>29</v>
      </c>
      <c r="I127">
        <v>5</v>
      </c>
      <c r="J127" t="s">
        <v>30</v>
      </c>
      <c r="K127" t="s">
        <v>30</v>
      </c>
    </row>
    <row r="128" spans="1:12">
      <c r="A128">
        <v>1127</v>
      </c>
      <c r="B128" t="s">
        <v>10</v>
      </c>
      <c r="C128" t="s">
        <v>45</v>
      </c>
      <c r="D128">
        <v>44</v>
      </c>
      <c r="E128" t="s">
        <v>34</v>
      </c>
      <c r="F128">
        <v>0.4</v>
      </c>
      <c r="G128" t="str">
        <f t="shared" si="1"/>
        <v>0-1 yrs</v>
      </c>
      <c r="H128" t="s">
        <v>29</v>
      </c>
      <c r="I128">
        <v>4</v>
      </c>
      <c r="J128" t="s">
        <v>30</v>
      </c>
      <c r="K128" t="s">
        <v>1</v>
      </c>
      <c r="L128" t="s">
        <v>31</v>
      </c>
    </row>
    <row r="129" spans="1:11">
      <c r="A129">
        <v>1128</v>
      </c>
      <c r="B129" t="s">
        <v>10</v>
      </c>
      <c r="C129" t="s">
        <v>45</v>
      </c>
      <c r="D129">
        <v>48</v>
      </c>
      <c r="E129" t="s">
        <v>34</v>
      </c>
      <c r="F129">
        <v>5.8</v>
      </c>
      <c r="G129" t="str">
        <f t="shared" si="1"/>
        <v>3-7 yrs</v>
      </c>
      <c r="H129" t="s">
        <v>26</v>
      </c>
      <c r="I129">
        <v>4</v>
      </c>
      <c r="J129" t="s">
        <v>30</v>
      </c>
      <c r="K129" t="s">
        <v>30</v>
      </c>
    </row>
    <row r="130" spans="1:12">
      <c r="A130">
        <v>1129</v>
      </c>
      <c r="B130" t="s">
        <v>10</v>
      </c>
      <c r="C130" t="s">
        <v>46</v>
      </c>
      <c r="D130">
        <v>53</v>
      </c>
      <c r="E130" t="s">
        <v>25</v>
      </c>
      <c r="F130">
        <v>0.1</v>
      </c>
      <c r="G130" t="str">
        <f t="shared" ref="G130:G193" si="2">IF(F130&lt;1,"0-1 yrs",IF(F130&lt;3,"1-3 yrs",IF(F130&lt;7,"3-7 yrs","7+ yrs")))</f>
        <v>0-1 yrs</v>
      </c>
      <c r="H130" t="s">
        <v>29</v>
      </c>
      <c r="I130">
        <v>3</v>
      </c>
      <c r="J130" t="s">
        <v>30</v>
      </c>
      <c r="K130" t="s">
        <v>1</v>
      </c>
      <c r="L130" t="s">
        <v>35</v>
      </c>
    </row>
    <row r="131" spans="1:11">
      <c r="A131">
        <v>1130</v>
      </c>
      <c r="B131" t="s">
        <v>10</v>
      </c>
      <c r="C131" t="s">
        <v>46</v>
      </c>
      <c r="D131">
        <v>57</v>
      </c>
      <c r="E131" t="s">
        <v>34</v>
      </c>
      <c r="F131">
        <v>0.2</v>
      </c>
      <c r="G131" t="str">
        <f t="shared" si="2"/>
        <v>0-1 yrs</v>
      </c>
      <c r="H131" t="s">
        <v>26</v>
      </c>
      <c r="I131">
        <v>5</v>
      </c>
      <c r="J131" t="s">
        <v>1</v>
      </c>
      <c r="K131" t="s">
        <v>30</v>
      </c>
    </row>
    <row r="132" spans="1:11">
      <c r="A132">
        <v>1131</v>
      </c>
      <c r="B132" t="s">
        <v>10</v>
      </c>
      <c r="C132" t="s">
        <v>46</v>
      </c>
      <c r="D132">
        <v>52</v>
      </c>
      <c r="E132" t="s">
        <v>34</v>
      </c>
      <c r="F132">
        <v>2.6</v>
      </c>
      <c r="G132" t="str">
        <f t="shared" si="2"/>
        <v>1-3 yrs</v>
      </c>
      <c r="H132" t="s">
        <v>29</v>
      </c>
      <c r="I132">
        <v>5</v>
      </c>
      <c r="J132" t="s">
        <v>30</v>
      </c>
      <c r="K132" t="s">
        <v>30</v>
      </c>
    </row>
    <row r="133" spans="1:12">
      <c r="A133">
        <v>1132</v>
      </c>
      <c r="B133" t="s">
        <v>10</v>
      </c>
      <c r="C133" t="s">
        <v>46</v>
      </c>
      <c r="D133">
        <v>50</v>
      </c>
      <c r="E133" t="s">
        <v>34</v>
      </c>
      <c r="F133">
        <v>0.2</v>
      </c>
      <c r="G133" t="str">
        <f t="shared" si="2"/>
        <v>0-1 yrs</v>
      </c>
      <c r="H133" t="s">
        <v>29</v>
      </c>
      <c r="I133">
        <v>4</v>
      </c>
      <c r="J133" t="s">
        <v>1</v>
      </c>
      <c r="K133" t="s">
        <v>1</v>
      </c>
      <c r="L133" t="s">
        <v>38</v>
      </c>
    </row>
    <row r="134" spans="1:11">
      <c r="A134">
        <v>1133</v>
      </c>
      <c r="B134" t="s">
        <v>10</v>
      </c>
      <c r="C134" t="s">
        <v>46</v>
      </c>
      <c r="D134">
        <v>26</v>
      </c>
      <c r="E134" t="s">
        <v>25</v>
      </c>
      <c r="F134">
        <v>6.2</v>
      </c>
      <c r="G134" t="str">
        <f t="shared" si="2"/>
        <v>3-7 yrs</v>
      </c>
      <c r="H134" t="s">
        <v>29</v>
      </c>
      <c r="I134">
        <v>4</v>
      </c>
      <c r="J134" t="s">
        <v>30</v>
      </c>
      <c r="K134" t="s">
        <v>30</v>
      </c>
    </row>
    <row r="135" spans="1:11">
      <c r="A135">
        <v>1134</v>
      </c>
      <c r="B135" t="s">
        <v>10</v>
      </c>
      <c r="C135" t="s">
        <v>45</v>
      </c>
      <c r="D135">
        <v>28</v>
      </c>
      <c r="E135" t="s">
        <v>25</v>
      </c>
      <c r="F135">
        <v>0.4</v>
      </c>
      <c r="G135" t="str">
        <f t="shared" si="2"/>
        <v>0-1 yrs</v>
      </c>
      <c r="H135" t="s">
        <v>29</v>
      </c>
      <c r="I135">
        <v>3</v>
      </c>
      <c r="J135" t="s">
        <v>1</v>
      </c>
      <c r="K135" t="s">
        <v>30</v>
      </c>
    </row>
    <row r="136" spans="1:12">
      <c r="A136">
        <v>1135</v>
      </c>
      <c r="B136" t="s">
        <v>10</v>
      </c>
      <c r="C136" t="s">
        <v>46</v>
      </c>
      <c r="D136">
        <v>45</v>
      </c>
      <c r="E136" t="s">
        <v>25</v>
      </c>
      <c r="F136">
        <v>0.4</v>
      </c>
      <c r="G136" t="str">
        <f t="shared" si="2"/>
        <v>0-1 yrs</v>
      </c>
      <c r="H136" t="s">
        <v>29</v>
      </c>
      <c r="I136">
        <v>3</v>
      </c>
      <c r="J136" t="s">
        <v>1</v>
      </c>
      <c r="K136" t="s">
        <v>1</v>
      </c>
      <c r="L136" t="s">
        <v>35</v>
      </c>
    </row>
    <row r="137" spans="1:11">
      <c r="A137">
        <v>1136</v>
      </c>
      <c r="B137" t="s">
        <v>10</v>
      </c>
      <c r="C137" t="s">
        <v>46</v>
      </c>
      <c r="D137">
        <v>35</v>
      </c>
      <c r="E137" t="s">
        <v>34</v>
      </c>
      <c r="F137">
        <v>0.3</v>
      </c>
      <c r="G137" t="str">
        <f t="shared" si="2"/>
        <v>0-1 yrs</v>
      </c>
      <c r="H137" t="s">
        <v>26</v>
      </c>
      <c r="I137">
        <v>3</v>
      </c>
      <c r="J137" t="s">
        <v>1</v>
      </c>
      <c r="K137" t="s">
        <v>30</v>
      </c>
    </row>
    <row r="138" spans="1:11">
      <c r="A138">
        <v>1137</v>
      </c>
      <c r="B138" t="s">
        <v>10</v>
      </c>
      <c r="C138" t="s">
        <v>46</v>
      </c>
      <c r="D138">
        <v>35</v>
      </c>
      <c r="E138" t="s">
        <v>34</v>
      </c>
      <c r="F138">
        <v>7.9</v>
      </c>
      <c r="G138" t="str">
        <f t="shared" si="2"/>
        <v>7+ yrs</v>
      </c>
      <c r="H138" t="s">
        <v>26</v>
      </c>
      <c r="I138">
        <v>5</v>
      </c>
      <c r="J138" t="s">
        <v>30</v>
      </c>
      <c r="K138" t="s">
        <v>30</v>
      </c>
    </row>
    <row r="139" spans="1:11">
      <c r="A139">
        <v>1138</v>
      </c>
      <c r="B139" t="s">
        <v>8</v>
      </c>
      <c r="C139" t="s">
        <v>47</v>
      </c>
      <c r="D139">
        <v>39</v>
      </c>
      <c r="E139" t="s">
        <v>34</v>
      </c>
      <c r="F139">
        <v>2.9</v>
      </c>
      <c r="G139" t="str">
        <f t="shared" si="2"/>
        <v>1-3 yrs</v>
      </c>
      <c r="H139" t="s">
        <v>29</v>
      </c>
      <c r="I139">
        <v>4</v>
      </c>
      <c r="J139" t="s">
        <v>1</v>
      </c>
      <c r="K139" t="s">
        <v>30</v>
      </c>
    </row>
    <row r="140" spans="1:11">
      <c r="A140">
        <v>1139</v>
      </c>
      <c r="B140" t="s">
        <v>8</v>
      </c>
      <c r="C140" t="s">
        <v>47</v>
      </c>
      <c r="D140">
        <v>35</v>
      </c>
      <c r="E140" t="s">
        <v>25</v>
      </c>
      <c r="F140">
        <v>2.7</v>
      </c>
      <c r="G140" t="str">
        <f t="shared" si="2"/>
        <v>1-3 yrs</v>
      </c>
      <c r="H140" t="s">
        <v>29</v>
      </c>
      <c r="I140">
        <v>4</v>
      </c>
      <c r="J140" t="s">
        <v>30</v>
      </c>
      <c r="K140" t="s">
        <v>30</v>
      </c>
    </row>
    <row r="141" spans="1:12">
      <c r="A141">
        <v>1140</v>
      </c>
      <c r="B141" t="s">
        <v>8</v>
      </c>
      <c r="C141" t="s">
        <v>47</v>
      </c>
      <c r="D141">
        <v>51</v>
      </c>
      <c r="E141" t="s">
        <v>25</v>
      </c>
      <c r="F141">
        <v>0.8</v>
      </c>
      <c r="G141" t="str">
        <f t="shared" si="2"/>
        <v>0-1 yrs</v>
      </c>
      <c r="H141" t="s">
        <v>26</v>
      </c>
      <c r="I141">
        <v>3</v>
      </c>
      <c r="J141" t="s">
        <v>1</v>
      </c>
      <c r="K141" t="s">
        <v>1</v>
      </c>
      <c r="L141" t="s">
        <v>39</v>
      </c>
    </row>
    <row r="142" spans="1:12">
      <c r="A142">
        <v>1141</v>
      </c>
      <c r="B142" t="s">
        <v>8</v>
      </c>
      <c r="C142" t="s">
        <v>48</v>
      </c>
      <c r="D142">
        <v>42</v>
      </c>
      <c r="E142" t="s">
        <v>34</v>
      </c>
      <c r="F142">
        <v>0.5</v>
      </c>
      <c r="G142" t="str">
        <f t="shared" si="2"/>
        <v>0-1 yrs</v>
      </c>
      <c r="H142" t="s">
        <v>37</v>
      </c>
      <c r="I142">
        <v>3</v>
      </c>
      <c r="J142" t="s">
        <v>30</v>
      </c>
      <c r="K142" t="s">
        <v>1</v>
      </c>
      <c r="L142" t="s">
        <v>31</v>
      </c>
    </row>
    <row r="143" spans="1:11">
      <c r="A143">
        <v>1142</v>
      </c>
      <c r="B143" t="s">
        <v>8</v>
      </c>
      <c r="C143" t="s">
        <v>47</v>
      </c>
      <c r="D143">
        <v>29</v>
      </c>
      <c r="E143" t="s">
        <v>34</v>
      </c>
      <c r="F143">
        <v>0.2</v>
      </c>
      <c r="G143" t="str">
        <f t="shared" si="2"/>
        <v>0-1 yrs</v>
      </c>
      <c r="H143" t="s">
        <v>26</v>
      </c>
      <c r="I143">
        <v>5</v>
      </c>
      <c r="J143" t="s">
        <v>1</v>
      </c>
      <c r="K143" t="s">
        <v>30</v>
      </c>
    </row>
    <row r="144" spans="1:11">
      <c r="A144">
        <v>1143</v>
      </c>
      <c r="B144" t="s">
        <v>8</v>
      </c>
      <c r="C144" t="s">
        <v>48</v>
      </c>
      <c r="D144">
        <v>43</v>
      </c>
      <c r="E144" t="s">
        <v>25</v>
      </c>
      <c r="F144">
        <v>1.7</v>
      </c>
      <c r="G144" t="str">
        <f t="shared" si="2"/>
        <v>1-3 yrs</v>
      </c>
      <c r="H144" t="s">
        <v>29</v>
      </c>
      <c r="I144">
        <v>4</v>
      </c>
      <c r="J144" t="s">
        <v>1</v>
      </c>
      <c r="K144" t="s">
        <v>30</v>
      </c>
    </row>
    <row r="145" spans="1:12">
      <c r="A145">
        <v>1144</v>
      </c>
      <c r="B145" t="s">
        <v>8</v>
      </c>
      <c r="C145" t="s">
        <v>47</v>
      </c>
      <c r="D145">
        <v>53</v>
      </c>
      <c r="E145" t="s">
        <v>34</v>
      </c>
      <c r="F145">
        <v>14</v>
      </c>
      <c r="G145" t="str">
        <f t="shared" si="2"/>
        <v>7+ yrs</v>
      </c>
      <c r="H145" t="s">
        <v>26</v>
      </c>
      <c r="I145">
        <v>2</v>
      </c>
      <c r="J145" t="s">
        <v>1</v>
      </c>
      <c r="K145" t="s">
        <v>1</v>
      </c>
      <c r="L145" t="s">
        <v>39</v>
      </c>
    </row>
    <row r="146" spans="1:11">
      <c r="A146">
        <v>1145</v>
      </c>
      <c r="B146" t="s">
        <v>8</v>
      </c>
      <c r="C146" t="s">
        <v>48</v>
      </c>
      <c r="D146">
        <v>44</v>
      </c>
      <c r="E146" t="s">
        <v>34</v>
      </c>
      <c r="F146">
        <v>3.7</v>
      </c>
      <c r="G146" t="str">
        <f t="shared" si="2"/>
        <v>3-7 yrs</v>
      </c>
      <c r="H146" t="s">
        <v>37</v>
      </c>
      <c r="I146">
        <v>2</v>
      </c>
      <c r="J146" t="s">
        <v>30</v>
      </c>
      <c r="K146" t="s">
        <v>30</v>
      </c>
    </row>
    <row r="147" spans="1:11">
      <c r="A147">
        <v>1146</v>
      </c>
      <c r="B147" t="s">
        <v>8</v>
      </c>
      <c r="C147" t="s">
        <v>48</v>
      </c>
      <c r="D147">
        <v>42</v>
      </c>
      <c r="E147" t="s">
        <v>34</v>
      </c>
      <c r="F147">
        <v>4.5</v>
      </c>
      <c r="G147" t="str">
        <f t="shared" si="2"/>
        <v>3-7 yrs</v>
      </c>
      <c r="H147" t="s">
        <v>26</v>
      </c>
      <c r="I147">
        <v>3</v>
      </c>
      <c r="J147" t="s">
        <v>1</v>
      </c>
      <c r="K147" t="s">
        <v>30</v>
      </c>
    </row>
    <row r="148" spans="1:11">
      <c r="A148">
        <v>1147</v>
      </c>
      <c r="B148" t="s">
        <v>8</v>
      </c>
      <c r="C148" t="s">
        <v>48</v>
      </c>
      <c r="D148">
        <v>32</v>
      </c>
      <c r="E148" t="s">
        <v>25</v>
      </c>
      <c r="F148">
        <v>4</v>
      </c>
      <c r="G148" t="str">
        <f t="shared" si="2"/>
        <v>3-7 yrs</v>
      </c>
      <c r="H148" t="s">
        <v>29</v>
      </c>
      <c r="I148">
        <v>5</v>
      </c>
      <c r="J148" t="s">
        <v>30</v>
      </c>
      <c r="K148" t="s">
        <v>30</v>
      </c>
    </row>
    <row r="149" spans="1:12">
      <c r="A149">
        <v>1148</v>
      </c>
      <c r="B149" t="s">
        <v>8</v>
      </c>
      <c r="C149" t="s">
        <v>48</v>
      </c>
      <c r="D149">
        <v>45</v>
      </c>
      <c r="E149" t="s">
        <v>25</v>
      </c>
      <c r="F149">
        <v>1.4</v>
      </c>
      <c r="G149" t="str">
        <f t="shared" si="2"/>
        <v>1-3 yrs</v>
      </c>
      <c r="H149" t="s">
        <v>29</v>
      </c>
      <c r="I149">
        <v>2</v>
      </c>
      <c r="J149" t="s">
        <v>1</v>
      </c>
      <c r="K149" t="s">
        <v>1</v>
      </c>
      <c r="L149" t="s">
        <v>36</v>
      </c>
    </row>
    <row r="150" spans="1:11">
      <c r="A150">
        <v>1149</v>
      </c>
      <c r="B150" t="s">
        <v>8</v>
      </c>
      <c r="C150" t="s">
        <v>47</v>
      </c>
      <c r="D150">
        <v>48</v>
      </c>
      <c r="E150" t="s">
        <v>34</v>
      </c>
      <c r="F150">
        <v>14</v>
      </c>
      <c r="G150" t="str">
        <f t="shared" si="2"/>
        <v>7+ yrs</v>
      </c>
      <c r="H150" t="s">
        <v>26</v>
      </c>
      <c r="I150">
        <v>3</v>
      </c>
      <c r="J150" t="s">
        <v>30</v>
      </c>
      <c r="K150" t="s">
        <v>30</v>
      </c>
    </row>
    <row r="151" spans="1:12">
      <c r="A151">
        <v>1150</v>
      </c>
      <c r="B151" t="s">
        <v>8</v>
      </c>
      <c r="C151" t="s">
        <v>48</v>
      </c>
      <c r="D151">
        <v>48</v>
      </c>
      <c r="E151" t="s">
        <v>34</v>
      </c>
      <c r="F151">
        <v>1.1</v>
      </c>
      <c r="G151" t="str">
        <f t="shared" si="2"/>
        <v>1-3 yrs</v>
      </c>
      <c r="H151" t="s">
        <v>29</v>
      </c>
      <c r="I151">
        <v>4</v>
      </c>
      <c r="J151" t="s">
        <v>30</v>
      </c>
      <c r="K151" t="s">
        <v>1</v>
      </c>
      <c r="L151" t="s">
        <v>31</v>
      </c>
    </row>
    <row r="152" spans="1:12">
      <c r="A152">
        <v>1151</v>
      </c>
      <c r="B152" t="s">
        <v>8</v>
      </c>
      <c r="C152" t="s">
        <v>47</v>
      </c>
      <c r="D152">
        <v>45</v>
      </c>
      <c r="E152" t="s">
        <v>34</v>
      </c>
      <c r="F152">
        <v>0.6</v>
      </c>
      <c r="G152" t="str">
        <f t="shared" si="2"/>
        <v>0-1 yrs</v>
      </c>
      <c r="H152" t="s">
        <v>26</v>
      </c>
      <c r="I152">
        <v>2</v>
      </c>
      <c r="J152" t="s">
        <v>30</v>
      </c>
      <c r="K152" t="s">
        <v>1</v>
      </c>
      <c r="L152" t="s">
        <v>35</v>
      </c>
    </row>
    <row r="153" spans="1:12">
      <c r="A153">
        <v>1152</v>
      </c>
      <c r="B153" t="s">
        <v>8</v>
      </c>
      <c r="C153" t="s">
        <v>47</v>
      </c>
      <c r="D153">
        <v>23</v>
      </c>
      <c r="E153" t="s">
        <v>25</v>
      </c>
      <c r="F153">
        <v>5.8</v>
      </c>
      <c r="G153" t="str">
        <f t="shared" si="2"/>
        <v>3-7 yrs</v>
      </c>
      <c r="H153" t="s">
        <v>26</v>
      </c>
      <c r="I153">
        <v>2</v>
      </c>
      <c r="J153" t="s">
        <v>1</v>
      </c>
      <c r="K153" t="s">
        <v>1</v>
      </c>
      <c r="L153" t="s">
        <v>36</v>
      </c>
    </row>
    <row r="154" spans="1:11">
      <c r="A154">
        <v>1153</v>
      </c>
      <c r="B154" t="s">
        <v>8</v>
      </c>
      <c r="C154" t="s">
        <v>48</v>
      </c>
      <c r="D154">
        <v>42</v>
      </c>
      <c r="E154" t="s">
        <v>25</v>
      </c>
      <c r="F154">
        <v>14.8</v>
      </c>
      <c r="G154" t="str">
        <f t="shared" si="2"/>
        <v>7+ yrs</v>
      </c>
      <c r="H154" t="s">
        <v>26</v>
      </c>
      <c r="I154">
        <v>3</v>
      </c>
      <c r="J154" t="s">
        <v>30</v>
      </c>
      <c r="K154" t="s">
        <v>30</v>
      </c>
    </row>
    <row r="155" spans="1:12">
      <c r="A155">
        <v>1154</v>
      </c>
      <c r="B155" t="s">
        <v>8</v>
      </c>
      <c r="C155" t="s">
        <v>47</v>
      </c>
      <c r="D155">
        <v>25</v>
      </c>
      <c r="E155" t="s">
        <v>34</v>
      </c>
      <c r="F155">
        <v>2.3</v>
      </c>
      <c r="G155" t="str">
        <f t="shared" si="2"/>
        <v>1-3 yrs</v>
      </c>
      <c r="H155" t="s">
        <v>26</v>
      </c>
      <c r="I155">
        <v>4</v>
      </c>
      <c r="J155" t="s">
        <v>30</v>
      </c>
      <c r="K155" t="s">
        <v>1</v>
      </c>
      <c r="L155" t="s">
        <v>39</v>
      </c>
    </row>
    <row r="156" spans="1:12">
      <c r="A156">
        <v>1155</v>
      </c>
      <c r="B156" t="s">
        <v>8</v>
      </c>
      <c r="C156" t="s">
        <v>48</v>
      </c>
      <c r="D156">
        <v>22</v>
      </c>
      <c r="E156" t="s">
        <v>34</v>
      </c>
      <c r="F156">
        <v>6.1</v>
      </c>
      <c r="G156" t="str">
        <f t="shared" si="2"/>
        <v>3-7 yrs</v>
      </c>
      <c r="H156" t="s">
        <v>26</v>
      </c>
      <c r="I156">
        <v>2</v>
      </c>
      <c r="J156" t="s">
        <v>30</v>
      </c>
      <c r="K156" t="s">
        <v>1</v>
      </c>
      <c r="L156" t="s">
        <v>35</v>
      </c>
    </row>
    <row r="157" spans="1:11">
      <c r="A157">
        <v>1156</v>
      </c>
      <c r="B157" t="s">
        <v>8</v>
      </c>
      <c r="C157" t="s">
        <v>48</v>
      </c>
      <c r="D157">
        <v>23</v>
      </c>
      <c r="E157" t="s">
        <v>34</v>
      </c>
      <c r="F157">
        <v>5.1</v>
      </c>
      <c r="G157" t="str">
        <f t="shared" si="2"/>
        <v>3-7 yrs</v>
      </c>
      <c r="H157" t="s">
        <v>37</v>
      </c>
      <c r="I157">
        <v>4</v>
      </c>
      <c r="J157" t="s">
        <v>1</v>
      </c>
      <c r="K157" t="s">
        <v>30</v>
      </c>
    </row>
    <row r="158" spans="1:12">
      <c r="A158">
        <v>1157</v>
      </c>
      <c r="B158" t="s">
        <v>8</v>
      </c>
      <c r="C158" t="s">
        <v>47</v>
      </c>
      <c r="D158">
        <v>27</v>
      </c>
      <c r="E158" t="s">
        <v>25</v>
      </c>
      <c r="F158">
        <v>0.3</v>
      </c>
      <c r="G158" t="str">
        <f t="shared" si="2"/>
        <v>0-1 yrs</v>
      </c>
      <c r="H158" t="s">
        <v>26</v>
      </c>
      <c r="I158">
        <v>3</v>
      </c>
      <c r="J158" t="s">
        <v>1</v>
      </c>
      <c r="K158" t="s">
        <v>1</v>
      </c>
      <c r="L158" t="s">
        <v>39</v>
      </c>
    </row>
    <row r="159" spans="1:11">
      <c r="A159">
        <v>1158</v>
      </c>
      <c r="B159" t="s">
        <v>8</v>
      </c>
      <c r="C159" t="s">
        <v>47</v>
      </c>
      <c r="D159">
        <v>54</v>
      </c>
      <c r="E159" t="s">
        <v>34</v>
      </c>
      <c r="F159">
        <v>11.9</v>
      </c>
      <c r="G159" t="str">
        <f t="shared" si="2"/>
        <v>7+ yrs</v>
      </c>
      <c r="H159" t="s">
        <v>26</v>
      </c>
      <c r="I159">
        <v>1</v>
      </c>
      <c r="J159" t="s">
        <v>1</v>
      </c>
      <c r="K159" t="s">
        <v>30</v>
      </c>
    </row>
    <row r="160" spans="1:11">
      <c r="A160">
        <v>1159</v>
      </c>
      <c r="B160" t="s">
        <v>8</v>
      </c>
      <c r="C160" t="s">
        <v>47</v>
      </c>
      <c r="D160">
        <v>46</v>
      </c>
      <c r="E160" t="s">
        <v>34</v>
      </c>
      <c r="F160">
        <v>10.9</v>
      </c>
      <c r="G160" t="str">
        <f t="shared" si="2"/>
        <v>7+ yrs</v>
      </c>
      <c r="H160" t="s">
        <v>26</v>
      </c>
      <c r="I160">
        <v>3</v>
      </c>
      <c r="J160" t="s">
        <v>1</v>
      </c>
      <c r="K160" t="s">
        <v>30</v>
      </c>
    </row>
    <row r="161" spans="1:12">
      <c r="A161">
        <v>1160</v>
      </c>
      <c r="B161" t="s">
        <v>8</v>
      </c>
      <c r="C161" t="s">
        <v>47</v>
      </c>
      <c r="D161">
        <v>48</v>
      </c>
      <c r="E161" t="s">
        <v>25</v>
      </c>
      <c r="F161">
        <v>0.9</v>
      </c>
      <c r="G161" t="str">
        <f t="shared" si="2"/>
        <v>0-1 yrs</v>
      </c>
      <c r="H161" t="s">
        <v>26</v>
      </c>
      <c r="I161">
        <v>3</v>
      </c>
      <c r="J161" t="s">
        <v>30</v>
      </c>
      <c r="K161" t="s">
        <v>1</v>
      </c>
      <c r="L161" t="s">
        <v>35</v>
      </c>
    </row>
    <row r="162" spans="1:11">
      <c r="A162">
        <v>1161</v>
      </c>
      <c r="B162" t="s">
        <v>8</v>
      </c>
      <c r="C162" t="s">
        <v>48</v>
      </c>
      <c r="D162">
        <v>27</v>
      </c>
      <c r="E162" t="s">
        <v>25</v>
      </c>
      <c r="F162">
        <v>0.8</v>
      </c>
      <c r="G162" t="str">
        <f t="shared" si="2"/>
        <v>0-1 yrs</v>
      </c>
      <c r="H162" t="s">
        <v>37</v>
      </c>
      <c r="I162">
        <v>2</v>
      </c>
      <c r="J162" t="s">
        <v>30</v>
      </c>
      <c r="K162" t="s">
        <v>30</v>
      </c>
    </row>
    <row r="163" spans="1:11">
      <c r="A163">
        <v>1162</v>
      </c>
      <c r="B163" t="s">
        <v>8</v>
      </c>
      <c r="C163" t="s">
        <v>48</v>
      </c>
      <c r="D163">
        <v>47</v>
      </c>
      <c r="E163" t="s">
        <v>34</v>
      </c>
      <c r="F163">
        <v>9.9</v>
      </c>
      <c r="G163" t="str">
        <f t="shared" si="2"/>
        <v>7+ yrs</v>
      </c>
      <c r="H163" t="s">
        <v>26</v>
      </c>
      <c r="I163">
        <v>3</v>
      </c>
      <c r="J163" t="s">
        <v>30</v>
      </c>
      <c r="K163" t="s">
        <v>30</v>
      </c>
    </row>
    <row r="164" spans="1:11">
      <c r="A164">
        <v>1163</v>
      </c>
      <c r="B164" t="s">
        <v>8</v>
      </c>
      <c r="C164" t="s">
        <v>47</v>
      </c>
      <c r="D164">
        <v>44</v>
      </c>
      <c r="E164" t="s">
        <v>34</v>
      </c>
      <c r="F164">
        <v>4.5</v>
      </c>
      <c r="G164" t="str">
        <f t="shared" si="2"/>
        <v>3-7 yrs</v>
      </c>
      <c r="H164" t="s">
        <v>29</v>
      </c>
      <c r="I164">
        <v>3</v>
      </c>
      <c r="J164" t="s">
        <v>30</v>
      </c>
      <c r="K164" t="s">
        <v>30</v>
      </c>
    </row>
    <row r="165" spans="1:11">
      <c r="A165">
        <v>1164</v>
      </c>
      <c r="B165" t="s">
        <v>8</v>
      </c>
      <c r="C165" t="s">
        <v>48</v>
      </c>
      <c r="D165">
        <v>25</v>
      </c>
      <c r="E165" t="s">
        <v>34</v>
      </c>
      <c r="F165">
        <v>6.2</v>
      </c>
      <c r="G165" t="str">
        <f t="shared" si="2"/>
        <v>3-7 yrs</v>
      </c>
      <c r="H165" t="s">
        <v>26</v>
      </c>
      <c r="I165">
        <v>3</v>
      </c>
      <c r="J165" t="s">
        <v>30</v>
      </c>
      <c r="K165" t="s">
        <v>30</v>
      </c>
    </row>
    <row r="166" spans="1:11">
      <c r="A166">
        <v>1165</v>
      </c>
      <c r="B166" t="s">
        <v>8</v>
      </c>
      <c r="C166" t="s">
        <v>47</v>
      </c>
      <c r="D166">
        <v>36</v>
      </c>
      <c r="E166" t="s">
        <v>25</v>
      </c>
      <c r="F166">
        <v>6.3</v>
      </c>
      <c r="G166" t="str">
        <f t="shared" si="2"/>
        <v>3-7 yrs</v>
      </c>
      <c r="H166" t="s">
        <v>37</v>
      </c>
      <c r="I166">
        <v>3</v>
      </c>
      <c r="J166" t="s">
        <v>30</v>
      </c>
      <c r="K166" t="s">
        <v>30</v>
      </c>
    </row>
    <row r="167" spans="1:11">
      <c r="A167">
        <v>1166</v>
      </c>
      <c r="B167" t="s">
        <v>8</v>
      </c>
      <c r="C167" t="s">
        <v>47</v>
      </c>
      <c r="D167">
        <v>30</v>
      </c>
      <c r="E167" t="s">
        <v>25</v>
      </c>
      <c r="F167">
        <v>1</v>
      </c>
      <c r="G167" t="str">
        <f t="shared" si="2"/>
        <v>1-3 yrs</v>
      </c>
      <c r="H167" t="s">
        <v>37</v>
      </c>
      <c r="I167">
        <v>3</v>
      </c>
      <c r="J167" t="s">
        <v>1</v>
      </c>
      <c r="K167" t="s">
        <v>30</v>
      </c>
    </row>
    <row r="168" spans="1:11">
      <c r="A168">
        <v>1167</v>
      </c>
      <c r="B168" t="s">
        <v>8</v>
      </c>
      <c r="C168" t="s">
        <v>48</v>
      </c>
      <c r="D168">
        <v>26</v>
      </c>
      <c r="E168" t="s">
        <v>34</v>
      </c>
      <c r="F168">
        <v>1.9</v>
      </c>
      <c r="G168" t="str">
        <f t="shared" si="2"/>
        <v>1-3 yrs</v>
      </c>
      <c r="H168" t="s">
        <v>37</v>
      </c>
      <c r="I168">
        <v>3</v>
      </c>
      <c r="J168" t="s">
        <v>30</v>
      </c>
      <c r="K168" t="s">
        <v>30</v>
      </c>
    </row>
    <row r="169" spans="1:11">
      <c r="A169">
        <v>1168</v>
      </c>
      <c r="B169" t="s">
        <v>9</v>
      </c>
      <c r="C169" t="s">
        <v>49</v>
      </c>
      <c r="D169">
        <v>44</v>
      </c>
      <c r="E169" t="s">
        <v>34</v>
      </c>
      <c r="F169">
        <v>0.7</v>
      </c>
      <c r="G169" t="str">
        <f t="shared" si="2"/>
        <v>0-1 yrs</v>
      </c>
      <c r="H169" t="s">
        <v>29</v>
      </c>
      <c r="I169">
        <v>3</v>
      </c>
      <c r="J169" t="s">
        <v>1</v>
      </c>
      <c r="K169" t="s">
        <v>30</v>
      </c>
    </row>
    <row r="170" spans="1:11">
      <c r="A170">
        <v>1169</v>
      </c>
      <c r="B170" t="s">
        <v>9</v>
      </c>
      <c r="C170" t="s">
        <v>50</v>
      </c>
      <c r="D170">
        <v>31</v>
      </c>
      <c r="E170" t="s">
        <v>25</v>
      </c>
      <c r="F170">
        <v>4.7</v>
      </c>
      <c r="G170" t="str">
        <f t="shared" si="2"/>
        <v>3-7 yrs</v>
      </c>
      <c r="H170" t="s">
        <v>26</v>
      </c>
      <c r="I170">
        <v>4</v>
      </c>
      <c r="J170" t="s">
        <v>30</v>
      </c>
      <c r="K170" t="s">
        <v>30</v>
      </c>
    </row>
    <row r="171" spans="1:11">
      <c r="A171">
        <v>1170</v>
      </c>
      <c r="B171" t="s">
        <v>9</v>
      </c>
      <c r="C171" t="s">
        <v>50</v>
      </c>
      <c r="D171">
        <v>28</v>
      </c>
      <c r="E171" t="s">
        <v>34</v>
      </c>
      <c r="F171">
        <v>3.1</v>
      </c>
      <c r="G171" t="str">
        <f t="shared" si="2"/>
        <v>3-7 yrs</v>
      </c>
      <c r="H171" t="s">
        <v>26</v>
      </c>
      <c r="I171">
        <v>3</v>
      </c>
      <c r="J171" t="s">
        <v>30</v>
      </c>
      <c r="K171" t="s">
        <v>30</v>
      </c>
    </row>
    <row r="172" spans="1:11">
      <c r="A172">
        <v>1171</v>
      </c>
      <c r="B172" t="s">
        <v>9</v>
      </c>
      <c r="C172" t="s">
        <v>50</v>
      </c>
      <c r="D172">
        <v>51</v>
      </c>
      <c r="E172" t="s">
        <v>25</v>
      </c>
      <c r="F172">
        <v>0.8</v>
      </c>
      <c r="G172" t="str">
        <f t="shared" si="2"/>
        <v>0-1 yrs</v>
      </c>
      <c r="H172" t="s">
        <v>29</v>
      </c>
      <c r="I172">
        <v>3</v>
      </c>
      <c r="J172" t="s">
        <v>30</v>
      </c>
      <c r="K172" t="s">
        <v>30</v>
      </c>
    </row>
    <row r="173" spans="1:11">
      <c r="A173">
        <v>1172</v>
      </c>
      <c r="B173" t="s">
        <v>9</v>
      </c>
      <c r="C173" t="s">
        <v>49</v>
      </c>
      <c r="D173">
        <v>38</v>
      </c>
      <c r="E173" t="s">
        <v>34</v>
      </c>
      <c r="F173">
        <v>8.7</v>
      </c>
      <c r="G173" t="str">
        <f t="shared" si="2"/>
        <v>7+ yrs</v>
      </c>
      <c r="H173" t="s">
        <v>26</v>
      </c>
      <c r="I173">
        <v>5</v>
      </c>
      <c r="J173" t="s">
        <v>30</v>
      </c>
      <c r="K173" t="s">
        <v>30</v>
      </c>
    </row>
    <row r="174" spans="1:11">
      <c r="A174">
        <v>1173</v>
      </c>
      <c r="B174" t="s">
        <v>9</v>
      </c>
      <c r="C174" t="s">
        <v>49</v>
      </c>
      <c r="D174">
        <v>53</v>
      </c>
      <c r="E174" t="s">
        <v>34</v>
      </c>
      <c r="F174">
        <v>3.4</v>
      </c>
      <c r="G174" t="str">
        <f t="shared" si="2"/>
        <v>3-7 yrs</v>
      </c>
      <c r="H174" t="s">
        <v>37</v>
      </c>
      <c r="I174">
        <v>3</v>
      </c>
      <c r="J174" t="s">
        <v>1</v>
      </c>
      <c r="K174" t="s">
        <v>30</v>
      </c>
    </row>
    <row r="175" spans="1:11">
      <c r="A175">
        <v>1174</v>
      </c>
      <c r="B175" t="s">
        <v>9</v>
      </c>
      <c r="C175" t="s">
        <v>49</v>
      </c>
      <c r="D175">
        <v>53</v>
      </c>
      <c r="E175" t="s">
        <v>34</v>
      </c>
      <c r="F175">
        <v>0.4</v>
      </c>
      <c r="G175" t="str">
        <f t="shared" si="2"/>
        <v>0-1 yrs</v>
      </c>
      <c r="H175" t="s">
        <v>29</v>
      </c>
      <c r="I175">
        <v>3</v>
      </c>
      <c r="J175" t="s">
        <v>30</v>
      </c>
      <c r="K175" t="s">
        <v>30</v>
      </c>
    </row>
    <row r="176" spans="1:11">
      <c r="A176">
        <v>1175</v>
      </c>
      <c r="B176" t="s">
        <v>9</v>
      </c>
      <c r="C176" t="s">
        <v>50</v>
      </c>
      <c r="D176">
        <v>29</v>
      </c>
      <c r="E176" t="s">
        <v>34</v>
      </c>
      <c r="F176">
        <v>6.6</v>
      </c>
      <c r="G176" t="str">
        <f t="shared" si="2"/>
        <v>3-7 yrs</v>
      </c>
      <c r="H176" t="s">
        <v>29</v>
      </c>
      <c r="I176">
        <v>4</v>
      </c>
      <c r="J176" t="s">
        <v>30</v>
      </c>
      <c r="K176" t="s">
        <v>30</v>
      </c>
    </row>
    <row r="177" spans="1:12">
      <c r="A177">
        <v>1176</v>
      </c>
      <c r="B177" t="s">
        <v>9</v>
      </c>
      <c r="C177" t="s">
        <v>50</v>
      </c>
      <c r="D177">
        <v>38</v>
      </c>
      <c r="E177" t="s">
        <v>34</v>
      </c>
      <c r="F177">
        <v>1</v>
      </c>
      <c r="G177" t="str">
        <f t="shared" si="2"/>
        <v>1-3 yrs</v>
      </c>
      <c r="H177" t="s">
        <v>26</v>
      </c>
      <c r="I177">
        <v>3</v>
      </c>
      <c r="J177" t="s">
        <v>1</v>
      </c>
      <c r="K177" t="s">
        <v>1</v>
      </c>
      <c r="L177" t="s">
        <v>35</v>
      </c>
    </row>
    <row r="178" spans="1:11">
      <c r="A178">
        <v>1177</v>
      </c>
      <c r="B178" t="s">
        <v>9</v>
      </c>
      <c r="C178" t="s">
        <v>49</v>
      </c>
      <c r="D178">
        <v>54</v>
      </c>
      <c r="E178" t="s">
        <v>34</v>
      </c>
      <c r="F178">
        <v>6.4</v>
      </c>
      <c r="G178" t="str">
        <f t="shared" si="2"/>
        <v>3-7 yrs</v>
      </c>
      <c r="H178" t="s">
        <v>26</v>
      </c>
      <c r="I178">
        <v>4</v>
      </c>
      <c r="J178" t="s">
        <v>30</v>
      </c>
      <c r="K178" t="s">
        <v>30</v>
      </c>
    </row>
    <row r="179" spans="1:11">
      <c r="A179">
        <v>1178</v>
      </c>
      <c r="B179" t="s">
        <v>9</v>
      </c>
      <c r="C179" t="s">
        <v>50</v>
      </c>
      <c r="D179">
        <v>38</v>
      </c>
      <c r="E179" t="s">
        <v>25</v>
      </c>
      <c r="F179">
        <v>0.1</v>
      </c>
      <c r="G179" t="str">
        <f t="shared" si="2"/>
        <v>0-1 yrs</v>
      </c>
      <c r="H179" t="s">
        <v>26</v>
      </c>
      <c r="I179">
        <v>3</v>
      </c>
      <c r="J179" t="s">
        <v>1</v>
      </c>
      <c r="K179" t="s">
        <v>30</v>
      </c>
    </row>
    <row r="180" spans="1:11">
      <c r="A180">
        <v>1179</v>
      </c>
      <c r="B180" t="s">
        <v>9</v>
      </c>
      <c r="C180" t="s">
        <v>49</v>
      </c>
      <c r="D180">
        <v>39</v>
      </c>
      <c r="E180" t="s">
        <v>25</v>
      </c>
      <c r="F180">
        <v>11.6</v>
      </c>
      <c r="G180" t="str">
        <f t="shared" si="2"/>
        <v>7+ yrs</v>
      </c>
      <c r="H180" t="s">
        <v>29</v>
      </c>
      <c r="I180">
        <v>1</v>
      </c>
      <c r="J180" t="s">
        <v>30</v>
      </c>
      <c r="K180" t="s">
        <v>30</v>
      </c>
    </row>
    <row r="181" spans="1:11">
      <c r="A181">
        <v>1180</v>
      </c>
      <c r="B181" t="s">
        <v>9</v>
      </c>
      <c r="C181" t="s">
        <v>49</v>
      </c>
      <c r="D181">
        <v>34</v>
      </c>
      <c r="E181" t="s">
        <v>25</v>
      </c>
      <c r="F181">
        <v>0.3</v>
      </c>
      <c r="G181" t="str">
        <f t="shared" si="2"/>
        <v>0-1 yrs</v>
      </c>
      <c r="H181" t="s">
        <v>26</v>
      </c>
      <c r="I181">
        <v>2</v>
      </c>
      <c r="J181" t="s">
        <v>30</v>
      </c>
      <c r="K181" t="s">
        <v>30</v>
      </c>
    </row>
    <row r="182" spans="1:12">
      <c r="A182">
        <v>1181</v>
      </c>
      <c r="B182" t="s">
        <v>9</v>
      </c>
      <c r="C182" t="s">
        <v>49</v>
      </c>
      <c r="D182">
        <v>55</v>
      </c>
      <c r="E182" t="s">
        <v>34</v>
      </c>
      <c r="F182">
        <v>3.3</v>
      </c>
      <c r="G182" t="str">
        <f t="shared" si="2"/>
        <v>3-7 yrs</v>
      </c>
      <c r="H182" t="s">
        <v>37</v>
      </c>
      <c r="I182">
        <v>2</v>
      </c>
      <c r="J182" t="s">
        <v>1</v>
      </c>
      <c r="K182" t="s">
        <v>1</v>
      </c>
      <c r="L182" t="s">
        <v>27</v>
      </c>
    </row>
    <row r="183" spans="1:11">
      <c r="A183">
        <v>1182</v>
      </c>
      <c r="B183" t="s">
        <v>9</v>
      </c>
      <c r="C183" t="s">
        <v>50</v>
      </c>
      <c r="D183">
        <v>53</v>
      </c>
      <c r="E183" t="s">
        <v>34</v>
      </c>
      <c r="F183">
        <v>2.9</v>
      </c>
      <c r="G183" t="str">
        <f t="shared" si="2"/>
        <v>1-3 yrs</v>
      </c>
      <c r="H183" t="s">
        <v>29</v>
      </c>
      <c r="I183">
        <v>3</v>
      </c>
      <c r="J183" t="s">
        <v>1</v>
      </c>
      <c r="K183" t="s">
        <v>30</v>
      </c>
    </row>
    <row r="184" spans="1:11">
      <c r="A184">
        <v>1183</v>
      </c>
      <c r="B184" t="s">
        <v>9</v>
      </c>
      <c r="C184" t="s">
        <v>50</v>
      </c>
      <c r="D184">
        <v>31</v>
      </c>
      <c r="E184" t="s">
        <v>25</v>
      </c>
      <c r="F184">
        <v>5</v>
      </c>
      <c r="G184" t="str">
        <f t="shared" si="2"/>
        <v>3-7 yrs</v>
      </c>
      <c r="H184" t="s">
        <v>37</v>
      </c>
      <c r="I184">
        <v>2</v>
      </c>
      <c r="J184" t="s">
        <v>30</v>
      </c>
      <c r="K184" t="s">
        <v>30</v>
      </c>
    </row>
    <row r="185" spans="1:11">
      <c r="A185">
        <v>1184</v>
      </c>
      <c r="B185" t="s">
        <v>9</v>
      </c>
      <c r="C185" t="s">
        <v>49</v>
      </c>
      <c r="D185">
        <v>24</v>
      </c>
      <c r="E185" t="s">
        <v>34</v>
      </c>
      <c r="F185">
        <v>0.1</v>
      </c>
      <c r="G185" t="str">
        <f t="shared" si="2"/>
        <v>0-1 yrs</v>
      </c>
      <c r="H185" t="s">
        <v>26</v>
      </c>
      <c r="I185">
        <v>3</v>
      </c>
      <c r="J185" t="s">
        <v>30</v>
      </c>
      <c r="K185" t="s">
        <v>30</v>
      </c>
    </row>
    <row r="186" spans="1:11">
      <c r="A186">
        <v>1185</v>
      </c>
      <c r="B186" t="s">
        <v>9</v>
      </c>
      <c r="C186" t="s">
        <v>50</v>
      </c>
      <c r="D186">
        <v>27</v>
      </c>
      <c r="E186" t="s">
        <v>34</v>
      </c>
      <c r="F186">
        <v>0.4</v>
      </c>
      <c r="G186" t="str">
        <f t="shared" si="2"/>
        <v>0-1 yrs</v>
      </c>
      <c r="H186" t="s">
        <v>29</v>
      </c>
      <c r="I186">
        <v>3</v>
      </c>
      <c r="J186" t="s">
        <v>1</v>
      </c>
      <c r="K186" t="s">
        <v>30</v>
      </c>
    </row>
    <row r="187" spans="1:12">
      <c r="A187">
        <v>1186</v>
      </c>
      <c r="B187" t="s">
        <v>9</v>
      </c>
      <c r="C187" t="s">
        <v>49</v>
      </c>
      <c r="D187">
        <v>38</v>
      </c>
      <c r="E187" t="s">
        <v>34</v>
      </c>
      <c r="F187">
        <v>2.1</v>
      </c>
      <c r="G187" t="str">
        <f t="shared" si="2"/>
        <v>1-3 yrs</v>
      </c>
      <c r="H187" t="s">
        <v>37</v>
      </c>
      <c r="I187">
        <v>3</v>
      </c>
      <c r="J187" t="s">
        <v>1</v>
      </c>
      <c r="K187" t="s">
        <v>1</v>
      </c>
      <c r="L187" t="s">
        <v>31</v>
      </c>
    </row>
    <row r="188" spans="1:12">
      <c r="A188">
        <v>1187</v>
      </c>
      <c r="B188" t="s">
        <v>9</v>
      </c>
      <c r="C188" t="s">
        <v>50</v>
      </c>
      <c r="D188">
        <v>52</v>
      </c>
      <c r="E188" t="s">
        <v>34</v>
      </c>
      <c r="F188">
        <v>0.8</v>
      </c>
      <c r="G188" t="str">
        <f t="shared" si="2"/>
        <v>0-1 yrs</v>
      </c>
      <c r="H188" t="s">
        <v>26</v>
      </c>
      <c r="I188">
        <v>1</v>
      </c>
      <c r="J188" t="s">
        <v>1</v>
      </c>
      <c r="K188" t="s">
        <v>1</v>
      </c>
      <c r="L188" t="s">
        <v>36</v>
      </c>
    </row>
    <row r="189" spans="1:12">
      <c r="A189">
        <v>1188</v>
      </c>
      <c r="B189" t="s">
        <v>9</v>
      </c>
      <c r="C189" t="s">
        <v>49</v>
      </c>
      <c r="D189">
        <v>43</v>
      </c>
      <c r="E189" t="s">
        <v>34</v>
      </c>
      <c r="F189">
        <v>5.2</v>
      </c>
      <c r="G189" t="str">
        <f t="shared" si="2"/>
        <v>3-7 yrs</v>
      </c>
      <c r="H189" t="s">
        <v>26</v>
      </c>
      <c r="I189">
        <v>1</v>
      </c>
      <c r="J189" t="s">
        <v>30</v>
      </c>
      <c r="K189" t="s">
        <v>1</v>
      </c>
      <c r="L189" t="s">
        <v>27</v>
      </c>
    </row>
    <row r="190" spans="1:12">
      <c r="A190">
        <v>1189</v>
      </c>
      <c r="B190" t="s">
        <v>9</v>
      </c>
      <c r="C190" t="s">
        <v>49</v>
      </c>
      <c r="D190">
        <v>44</v>
      </c>
      <c r="E190" t="s">
        <v>34</v>
      </c>
      <c r="F190">
        <v>4.5</v>
      </c>
      <c r="G190" t="str">
        <f t="shared" si="2"/>
        <v>3-7 yrs</v>
      </c>
      <c r="H190" t="s">
        <v>29</v>
      </c>
      <c r="I190">
        <v>4</v>
      </c>
      <c r="J190" t="s">
        <v>1</v>
      </c>
      <c r="K190" t="s">
        <v>1</v>
      </c>
      <c r="L190" t="s">
        <v>36</v>
      </c>
    </row>
    <row r="191" spans="1:11">
      <c r="A191">
        <v>1190</v>
      </c>
      <c r="B191" t="s">
        <v>9</v>
      </c>
      <c r="C191" t="s">
        <v>50</v>
      </c>
      <c r="D191">
        <v>26</v>
      </c>
      <c r="E191" t="s">
        <v>25</v>
      </c>
      <c r="F191">
        <v>7.3</v>
      </c>
      <c r="G191" t="str">
        <f t="shared" si="2"/>
        <v>7+ yrs</v>
      </c>
      <c r="H191" t="s">
        <v>37</v>
      </c>
      <c r="I191">
        <v>2</v>
      </c>
      <c r="J191" t="s">
        <v>1</v>
      </c>
      <c r="K191" t="s">
        <v>30</v>
      </c>
    </row>
    <row r="192" spans="1:11">
      <c r="A192">
        <v>1191</v>
      </c>
      <c r="B192" t="s">
        <v>9</v>
      </c>
      <c r="C192" t="s">
        <v>49</v>
      </c>
      <c r="D192">
        <v>36</v>
      </c>
      <c r="E192" t="s">
        <v>25</v>
      </c>
      <c r="F192">
        <v>12.7</v>
      </c>
      <c r="G192" t="str">
        <f t="shared" si="2"/>
        <v>7+ yrs</v>
      </c>
      <c r="H192" t="s">
        <v>29</v>
      </c>
      <c r="I192">
        <v>4</v>
      </c>
      <c r="J192" t="s">
        <v>1</v>
      </c>
      <c r="K192" t="s">
        <v>30</v>
      </c>
    </row>
    <row r="193" spans="1:12">
      <c r="A193">
        <v>1192</v>
      </c>
      <c r="B193" t="s">
        <v>9</v>
      </c>
      <c r="C193" t="s">
        <v>49</v>
      </c>
      <c r="D193">
        <v>51</v>
      </c>
      <c r="E193" t="s">
        <v>25</v>
      </c>
      <c r="F193">
        <v>0.4</v>
      </c>
      <c r="G193" t="str">
        <f t="shared" si="2"/>
        <v>0-1 yrs</v>
      </c>
      <c r="H193" t="s">
        <v>26</v>
      </c>
      <c r="I193">
        <v>4</v>
      </c>
      <c r="J193" t="s">
        <v>1</v>
      </c>
      <c r="K193" t="s">
        <v>1</v>
      </c>
      <c r="L193" t="s">
        <v>36</v>
      </c>
    </row>
    <row r="194" spans="1:12">
      <c r="A194">
        <v>1193</v>
      </c>
      <c r="B194" t="s">
        <v>9</v>
      </c>
      <c r="C194" t="s">
        <v>49</v>
      </c>
      <c r="D194">
        <v>29</v>
      </c>
      <c r="E194" t="s">
        <v>25</v>
      </c>
      <c r="F194">
        <v>2.1</v>
      </c>
      <c r="G194" t="str">
        <f>IF(F194&lt;1,"0-1 yrs",IF(F194&lt;3,"1-3 yrs",IF(F194&lt;7,"3-7 yrs","7+ yrs")))</f>
        <v>1-3 yrs</v>
      </c>
      <c r="H194" t="s">
        <v>29</v>
      </c>
      <c r="I194">
        <v>3</v>
      </c>
      <c r="J194" t="s">
        <v>1</v>
      </c>
      <c r="K194" t="s">
        <v>1</v>
      </c>
      <c r="L194" t="s">
        <v>27</v>
      </c>
    </row>
    <row r="195" spans="1:12">
      <c r="A195">
        <v>1194</v>
      </c>
      <c r="B195" t="s">
        <v>9</v>
      </c>
      <c r="C195" t="s">
        <v>50</v>
      </c>
      <c r="D195">
        <v>54</v>
      </c>
      <c r="E195" t="s">
        <v>34</v>
      </c>
      <c r="F195">
        <v>5.3</v>
      </c>
      <c r="G195" t="str">
        <f>IF(F195&lt;1,"0-1 yrs",IF(F195&lt;3,"1-3 yrs",IF(F195&lt;7,"3-7 yrs","7+ yrs")))</f>
        <v>3-7 yrs</v>
      </c>
      <c r="H195" t="s">
        <v>26</v>
      </c>
      <c r="I195">
        <v>5</v>
      </c>
      <c r="J195" t="s">
        <v>30</v>
      </c>
      <c r="K195" t="s">
        <v>1</v>
      </c>
      <c r="L195" t="s">
        <v>38</v>
      </c>
    </row>
    <row r="196" spans="1:12">
      <c r="A196">
        <v>1195</v>
      </c>
      <c r="B196" t="s">
        <v>9</v>
      </c>
      <c r="C196" t="s">
        <v>50</v>
      </c>
      <c r="D196">
        <v>52</v>
      </c>
      <c r="E196" t="s">
        <v>34</v>
      </c>
      <c r="F196">
        <v>0.4</v>
      </c>
      <c r="G196" t="str">
        <f>IF(F196&lt;1,"0-1 yrs",IF(F196&lt;3,"1-3 yrs",IF(F196&lt;7,"3-7 yrs","7+ yrs")))</f>
        <v>0-1 yrs</v>
      </c>
      <c r="H196" t="s">
        <v>26</v>
      </c>
      <c r="I196">
        <v>3</v>
      </c>
      <c r="J196" t="s">
        <v>1</v>
      </c>
      <c r="K196" t="s">
        <v>1</v>
      </c>
      <c r="L196" t="s">
        <v>31</v>
      </c>
    </row>
    <row r="197" spans="1:12">
      <c r="A197">
        <v>1196</v>
      </c>
      <c r="B197" t="s">
        <v>9</v>
      </c>
      <c r="C197" t="s">
        <v>50</v>
      </c>
      <c r="D197">
        <v>26</v>
      </c>
      <c r="E197" t="s">
        <v>25</v>
      </c>
      <c r="F197">
        <v>1.7</v>
      </c>
      <c r="G197" t="str">
        <f>IF(F197&lt;1,"0-1 yrs",IF(F197&lt;3,"1-3 yrs",IF(F197&lt;7,"3-7 yrs","7+ yrs")))</f>
        <v>1-3 yrs</v>
      </c>
      <c r="H197" t="s">
        <v>26</v>
      </c>
      <c r="I197">
        <v>3</v>
      </c>
      <c r="J197" t="s">
        <v>30</v>
      </c>
      <c r="K197" t="s">
        <v>1</v>
      </c>
      <c r="L197" t="s">
        <v>38</v>
      </c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D7" sqref="D7"/>
    </sheetView>
  </sheetViews>
  <sheetFormatPr defaultColWidth="8.67592592592593" defaultRowHeight="14.4" outlineLevelCol="3"/>
  <cols>
    <col min="1" max="1" width="14" customWidth="1"/>
    <col min="2" max="2" width="12" customWidth="1"/>
    <col min="3" max="3" width="10" customWidth="1"/>
    <col min="4" max="4" width="14" customWidth="1"/>
  </cols>
  <sheetData>
    <row r="1" ht="21" spans="1:1">
      <c r="A1" s="1" t="s">
        <v>51</v>
      </c>
    </row>
    <row r="2" spans="1:1">
      <c r="A2" s="2" t="s">
        <v>52</v>
      </c>
    </row>
    <row r="4" spans="1:1">
      <c r="A4" s="3" t="s">
        <v>53</v>
      </c>
    </row>
    <row r="5" spans="1:4">
      <c r="A5" s="4" t="s">
        <v>2</v>
      </c>
      <c r="B5" s="4" t="s">
        <v>54</v>
      </c>
      <c r="C5" s="4" t="s">
        <v>55</v>
      </c>
      <c r="D5" s="4" t="s">
        <v>56</v>
      </c>
    </row>
    <row r="6" spans="1:4">
      <c r="A6" s="5" t="s">
        <v>6</v>
      </c>
      <c r="B6" s="5">
        <f>COUNTIF('Employee Data'!$B$2:$B$197,$A6)</f>
        <v>31</v>
      </c>
      <c r="C6" s="5">
        <f>COUNTIFS('Employee Data'!$B$2:$B$197,$A6,'Employee Data'!$K$2:$K$197,"Yes")</f>
        <v>12</v>
      </c>
      <c r="D6" s="6">
        <f t="shared" ref="D6:D11" si="0">IFERROR(C6/B6,0)</f>
        <v>0.387096774193548</v>
      </c>
    </row>
    <row r="7" spans="1:4">
      <c r="A7" s="5" t="s">
        <v>7</v>
      </c>
      <c r="B7" s="5">
        <f>COUNTIF('Employee Data'!$B$2:$B$197,$A7)</f>
        <v>31</v>
      </c>
      <c r="C7" s="5">
        <f>COUNTIFS('Employee Data'!$B$2:$B$197,$A7,'Employee Data'!$K$2:$K$197,"Yes")</f>
        <v>8</v>
      </c>
      <c r="D7" s="6">
        <f t="shared" si="0"/>
        <v>0.258064516129032</v>
      </c>
    </row>
    <row r="8" spans="1:4">
      <c r="A8" s="5" t="s">
        <v>8</v>
      </c>
      <c r="B8" s="5">
        <f>COUNTIF('Employee Data'!$B$2:$B$197,$A8)</f>
        <v>30</v>
      </c>
      <c r="C8" s="5">
        <f>COUNTIFS('Employee Data'!$B$2:$B$197,$A8,'Employee Data'!$K$2:$K$197,"Yes")</f>
        <v>11</v>
      </c>
      <c r="D8" s="6">
        <f t="shared" si="0"/>
        <v>0.366666666666667</v>
      </c>
    </row>
    <row r="9" spans="1:4">
      <c r="A9" s="5" t="s">
        <v>9</v>
      </c>
      <c r="B9" s="5">
        <f>COUNTIF('Employee Data'!$B$2:$B$197,$A9)</f>
        <v>29</v>
      </c>
      <c r="C9" s="5">
        <f>COUNTIFS('Employee Data'!$B$2:$B$197,$A9,'Employee Data'!$K$2:$K$197,"Yes")</f>
        <v>11</v>
      </c>
      <c r="D9" s="6">
        <f t="shared" si="0"/>
        <v>0.379310344827586</v>
      </c>
    </row>
    <row r="10" spans="1:4">
      <c r="A10" s="5" t="s">
        <v>10</v>
      </c>
      <c r="B10" s="5">
        <f>COUNTIF('Employee Data'!$B$2:$B$197,$A10)</f>
        <v>40</v>
      </c>
      <c r="C10" s="5">
        <f>COUNTIFS('Employee Data'!$B$2:$B$197,$A10,'Employee Data'!$K$2:$K$197,"Yes")</f>
        <v>11</v>
      </c>
      <c r="D10" s="6">
        <f t="shared" si="0"/>
        <v>0.275</v>
      </c>
    </row>
    <row r="11" spans="1:4">
      <c r="A11" s="5" t="s">
        <v>11</v>
      </c>
      <c r="B11" s="5">
        <f>COUNTIF('Employee Data'!$B$2:$B$197,$A11)</f>
        <v>35</v>
      </c>
      <c r="C11" s="5">
        <f>COUNTIFS('Employee Data'!$B$2:$B$197,$A11,'Employee Data'!$K$2:$K$197,"Yes")</f>
        <v>17</v>
      </c>
      <c r="D11" s="6">
        <f t="shared" si="0"/>
        <v>0.485714285714286</v>
      </c>
    </row>
    <row r="14" spans="1:1">
      <c r="A14" s="3" t="s">
        <v>57</v>
      </c>
    </row>
    <row r="15" spans="1:4">
      <c r="A15" s="4" t="s">
        <v>18</v>
      </c>
      <c r="B15" s="4" t="s">
        <v>54</v>
      </c>
      <c r="C15" s="4" t="s">
        <v>55</v>
      </c>
      <c r="D15" s="4" t="s">
        <v>56</v>
      </c>
    </row>
    <row r="16" spans="1:4">
      <c r="A16" s="5" t="s">
        <v>58</v>
      </c>
      <c r="B16" s="5">
        <f>COUNTIF('Employee Data'!$G$2:$G$197,$A16)</f>
        <v>61</v>
      </c>
      <c r="C16" s="5">
        <f>COUNTIFS('Employee Data'!$G$2:$G$197,$A16,'Employee Data'!$K$2:$K$197,"Yes")</f>
        <v>30</v>
      </c>
      <c r="D16" s="6">
        <f>IFERROR(C16/B16,0)</f>
        <v>0.491803278688525</v>
      </c>
    </row>
    <row r="17" spans="1:4">
      <c r="A17" s="5" t="s">
        <v>59</v>
      </c>
      <c r="B17" s="5">
        <f>COUNTIF('Employee Data'!$G$2:$G$197,$A17)</f>
        <v>57</v>
      </c>
      <c r="C17" s="5">
        <f>COUNTIFS('Employee Data'!$G$2:$G$197,$A17,'Employee Data'!$K$2:$K$197,"Yes")</f>
        <v>26</v>
      </c>
      <c r="D17" s="6">
        <f>IFERROR(C17/B17,0)</f>
        <v>0.456140350877193</v>
      </c>
    </row>
    <row r="18" spans="1:4">
      <c r="A18" s="5" t="s">
        <v>60</v>
      </c>
      <c r="B18" s="5">
        <f>COUNTIF('Employee Data'!$G$2:$G$197,$A18)</f>
        <v>49</v>
      </c>
      <c r="C18" s="5">
        <f>COUNTIFS('Employee Data'!$G$2:$G$197,$A18,'Employee Data'!$K$2:$K$197,"Yes")</f>
        <v>10</v>
      </c>
      <c r="D18" s="6">
        <f>IFERROR(C18/B18,0)</f>
        <v>0.204081632653061</v>
      </c>
    </row>
    <row r="19" spans="1:4">
      <c r="A19" s="5" t="s">
        <v>61</v>
      </c>
      <c r="B19" s="5">
        <f>COUNTIF('Employee Data'!$G$2:$G$197,$A19)</f>
        <v>29</v>
      </c>
      <c r="C19" s="5">
        <f>COUNTIFS('Employee Data'!$G$2:$G$197,$A19,'Employee Data'!$K$2:$K$197,"Yes")</f>
        <v>4</v>
      </c>
      <c r="D19" s="6">
        <f>IFERROR(C19/B19,0)</f>
        <v>0.137931034482759</v>
      </c>
    </row>
    <row r="22" spans="1:1">
      <c r="A22" s="3" t="s">
        <v>62</v>
      </c>
    </row>
    <row r="23" spans="1:4">
      <c r="A23" s="4" t="s">
        <v>21</v>
      </c>
      <c r="B23" s="4" t="s">
        <v>54</v>
      </c>
      <c r="C23" s="4" t="s">
        <v>55</v>
      </c>
      <c r="D23" s="4" t="s">
        <v>56</v>
      </c>
    </row>
    <row r="24" spans="1:4">
      <c r="A24" s="5" t="s">
        <v>1</v>
      </c>
      <c r="B24" s="5">
        <f>COUNTIF('Employee Data'!$J$2:$J$197,$A24)</f>
        <v>75</v>
      </c>
      <c r="C24" s="5">
        <f>COUNTIFS('Employee Data'!$J$2:$J$197,$A24,'Employee Data'!$K$2:$K$197,"Yes")</f>
        <v>32</v>
      </c>
      <c r="D24" s="6">
        <f>IFERROR(C24/B24,0)</f>
        <v>0.426666666666667</v>
      </c>
    </row>
    <row r="25" spans="1:4">
      <c r="A25" s="5" t="s">
        <v>30</v>
      </c>
      <c r="B25" s="5">
        <f>COUNTIF('Employee Data'!$J$2:$J$197,$A25)</f>
        <v>121</v>
      </c>
      <c r="C25" s="5">
        <f>COUNTIFS('Employee Data'!$J$2:$J$197,$A25,'Employee Data'!$K$2:$K$197,"Yes")</f>
        <v>38</v>
      </c>
      <c r="D25" s="6">
        <f>IFERROR(C25/B25,0)</f>
        <v>0.31404958677686</v>
      </c>
    </row>
  </sheetData>
  <conditionalFormatting sqref="D6:D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Employee Data</vt:lpstr>
      <vt:lpstr>Answer 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Azeez Akande</cp:lastModifiedBy>
  <cp:revision>0</cp:revision>
  <dcterms:created xsi:type="dcterms:W3CDTF">2026-09-15T05:48:00Z</dcterms:created>
  <dcterms:modified xsi:type="dcterms:W3CDTF">2026-09-17T13:30:16Z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0EC39F0CC45847C3BA6063A5EFFC71C8_12</vt:lpwstr>
  </property>
  <property fmtid="{D5CDD505-2E9C-101B-9397-08002B2CF9AE}" pid="3" name="KSOProductBuildVer">
    <vt:lpwstr>2057-12.2.0.23202</vt:lpwstr>
  </property>
</Properties>
</file>