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 tabRatio="500" activeTab="2"/>
  </bookViews>
  <sheets>
    <sheet name="Raw Data" sheetId="1" r:id="rId1"/>
    <sheet name="Store Summary" sheetId="2" r:id="rId2"/>
    <sheet name="Dashboard" sheetId="3" r:id="rId3"/>
  </sheets>
  <definedNames>
    <definedName name="_xlnm._FilterDatabase" localSheetId="0" hidden="1">'Raw Data'!$A$1:$G$289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F5" authorId="0">
      <text>
        <r>
          <rPr>
            <sz val="10"/>
            <rFont val="Arial"/>
            <charset val="134"/>
          </rPr>
          <t>Variance % = (Actual Sales - Target) / Target. Color scale: red = furthest below target, green = furthest above target.</t>
        </r>
      </text>
    </comment>
  </commentList>
</comments>
</file>

<file path=xl/sharedStrings.xml><?xml version="1.0" encoding="utf-8"?>
<sst xmlns="http://schemas.openxmlformats.org/spreadsheetml/2006/main" count="1187" uniqueCount="46">
  <si>
    <t>Date</t>
  </si>
  <si>
    <t>Store</t>
  </si>
  <si>
    <t>Region</t>
  </si>
  <si>
    <t>Category</t>
  </si>
  <si>
    <t>Units Sold</t>
  </si>
  <si>
    <t>Sales (NGN)</t>
  </si>
  <si>
    <t>Target (NGN)</t>
  </si>
  <si>
    <t>2025-01-01</t>
  </si>
  <si>
    <t>Lagos Island</t>
  </si>
  <si>
    <t>South West</t>
  </si>
  <si>
    <t>Electronics</t>
  </si>
  <si>
    <t>Apparel</t>
  </si>
  <si>
    <t>Groceries</t>
  </si>
  <si>
    <t>Home &amp; Living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</si>
  <si>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</si>
  <si>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</si>
  <si>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</si>
  <si>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</si>
  <si>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</si>
  <si>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</si>
  <si>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</si>
  <si>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</si>
  <si>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</si>
  <si>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</si>
  <si>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</si>
  <si>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Ikeja</t>
  </si>
  <si>
    <t>Port Harcourt</t>
  </si>
  <si>
    <t>South South</t>
  </si>
  <si>
    <t>Abuja Central</t>
  </si>
  <si>
    <t>North Central</t>
  </si>
  <si>
    <t>Kano</t>
  </si>
  <si>
    <t>North West</t>
  </si>
  <si>
    <t>Enugu</t>
  </si>
  <si>
    <t>South East</t>
  </si>
  <si>
    <t>Store Performance Summary — FY2025</t>
  </si>
  <si>
    <t>Total Sales vs Target by Store, with variance flags</t>
  </si>
  <si>
    <t>Total Sales (NGN)</t>
  </si>
  <si>
    <t>Total Target (NGN)</t>
  </si>
  <si>
    <t>Variance (NGN)</t>
  </si>
  <si>
    <t>Variance %</t>
  </si>
  <si>
    <t>Status</t>
  </si>
  <si>
    <t>COMPANY TOTAL</t>
  </si>
  <si>
    <t>Retail Sales Performance Dashboard</t>
  </si>
  <si>
    <t>FY2025 | 6 Stores | 4 Categories | Live from Raw Data sheet</t>
  </si>
  <si>
    <t>Overall Variance %</t>
  </si>
  <si>
    <t>Top Performing Store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</si>
</sst>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%"/>
    <numFmt numFmtId="177" formatCode="#,##0;\(#,##0\)"/>
    <numFmt numFmtId="178" formatCode="yyyy\-mm\-dd"/>
  </numFmts>
  <fonts count="30">
    <font>
      <sz val="11"/>
      <color theme="1"/>
      <name val="Calibri"/>
      <charset val="1"/>
    </font>
    <font>
      <b/>
      <sz val="20"/>
      <color rgb="FF1F4E78"/>
      <name val="Arial"/>
      <charset val="1"/>
    </font>
    <font>
      <i/>
      <sz val="10"/>
      <color rgb="FF666666"/>
      <name val="Arial"/>
      <charset val="1"/>
    </font>
    <font>
      <b/>
      <sz val="10"/>
      <color rgb="FFFFFFFF"/>
      <name val="Arial"/>
      <charset val="1"/>
    </font>
    <font>
      <b/>
      <sz val="18"/>
      <color rgb="FF1F4E78"/>
      <name val="Arial"/>
      <charset val="1"/>
    </font>
    <font>
      <b/>
      <sz val="16"/>
      <color rgb="FF1F4E78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1F8"/>
        <bgColor rgb="FFF9F9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Border="0" applyAlignment="0" applyProtection="0"/>
    <xf numFmtId="44" fontId="8" fillId="0" borderId="0" applyBorder="0" applyAlignment="0" applyProtection="0"/>
    <xf numFmtId="9" fontId="8" fillId="0" borderId="0" applyBorder="0" applyAlignment="0" applyProtection="0"/>
    <xf numFmtId="41" fontId="8" fillId="0" borderId="0" applyBorder="0" applyAlignment="0" applyProtection="0"/>
    <xf numFmtId="42" fontId="8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center"/>
    </xf>
    <xf numFmtId="176" fontId="4" fillId="3" borderId="1" xfId="0" applyNumberFormat="1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0" fontId="5" fillId="0" borderId="0" xfId="0" applyFont="1"/>
    <xf numFmtId="0" fontId="6" fillId="2" borderId="1" xfId="0" applyFont="1" applyFill="1" applyBorder="1" applyAlignment="1">
      <alignment horizontal="center" wrapText="1"/>
    </xf>
    <xf numFmtId="0" fontId="0" fillId="0" borderId="1" xfId="0" applyFont="1" applyBorder="1"/>
    <xf numFmtId="3" fontId="0" fillId="0" borderId="1" xfId="0" applyNumberFormat="1" applyBorder="1"/>
    <xf numFmtId="177" fontId="0" fillId="0" borderId="1" xfId="0" applyNumberFormat="1" applyBorder="1"/>
    <xf numFmtId="176" fontId="0" fillId="0" borderId="1" xfId="0" applyNumberFormat="1" applyBorder="1"/>
    <xf numFmtId="0" fontId="0" fillId="0" borderId="1" xfId="0" applyBorder="1"/>
    <xf numFmtId="0" fontId="7" fillId="0" borderId="0" xfId="0" applyFont="1"/>
    <xf numFmtId="3" fontId="7" fillId="0" borderId="0" xfId="0" applyNumberFormat="1" applyFont="1"/>
    <xf numFmtId="177" fontId="7" fillId="0" borderId="0" xfId="0" applyNumberFormat="1" applyFont="1"/>
    <xf numFmtId="176" fontId="7" fillId="0" borderId="0" xfId="0" applyNumberFormat="1" applyFont="1"/>
    <xf numFmtId="0" fontId="6" fillId="2" borderId="1" xfId="0" applyFont="1" applyFill="1" applyBorder="1" applyAlignment="1">
      <alignment horizontal="center"/>
    </xf>
    <xf numFmtId="178" fontId="0" fillId="0" borderId="1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78787"/>
      <rgbColor rgb="009999FF"/>
      <rgbColor rgb="00C0504D"/>
      <rgbColor rgb="00F9F9F9"/>
      <rgbColor rgb="00EAF1F8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FF99"/>
      <rgbColor rgb="0099CCFF"/>
      <rgbColor rgb="00FF99CC"/>
      <rgbColor rgb="00CC99FF"/>
      <rgbColor rgb="00FFC7CE"/>
      <rgbColor rgb="004F81BD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Sales vs Target by Store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'Store Summary'!$C$4</c:f>
              <c:strCache>
                <c:ptCount val="1"/>
                <c:pt idx="0">
                  <c:v>Total Sales (NGN)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'Store Summary'!$A$5:$A$10</c:f>
              <c:strCache>
                <c:ptCount val="6"/>
                <c:pt idx="0">
                  <c:v>Abuja Central</c:v>
                </c:pt>
                <c:pt idx="1">
                  <c:v>Enugu</c:v>
                </c:pt>
                <c:pt idx="2">
                  <c:v>Ikeja</c:v>
                </c:pt>
                <c:pt idx="3">
                  <c:v>Kano</c:v>
                </c:pt>
                <c:pt idx="4">
                  <c:v>Lagos Island</c:v>
                </c:pt>
                <c:pt idx="5">
                  <c:v>Port Harcourt</c:v>
                </c:pt>
              </c:strCache>
            </c:strRef>
          </c:cat>
          <c:val>
            <c:numRef>
              <c:f>'Store Summary'!$C$5:$C$10</c:f>
              <c:numCache>
                <c:formatCode>#,##0</c:formatCode>
                <c:ptCount val="6"/>
                <c:pt idx="0">
                  <c:v>33604598</c:v>
                </c:pt>
                <c:pt idx="1">
                  <c:v>55538912</c:v>
                </c:pt>
                <c:pt idx="2">
                  <c:v>37735917</c:v>
                </c:pt>
                <c:pt idx="3">
                  <c:v>40521165</c:v>
                </c:pt>
                <c:pt idx="4">
                  <c:v>43680421</c:v>
                </c:pt>
                <c:pt idx="5">
                  <c:v>34205734</c:v>
                </c:pt>
              </c:numCache>
            </c:numRef>
          </c:val>
        </c:ser>
        <c:ser>
          <c:idx val="1"/>
          <c:order val="1"/>
          <c:tx>
            <c:strRef>
              <c:f>'Store Summary'!$D$4</c:f>
              <c:strCache>
                <c:ptCount val="1"/>
                <c:pt idx="0">
                  <c:v>Total Target (NGN)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'Store Summary'!$A$5:$A$10</c:f>
              <c:strCache>
                <c:ptCount val="6"/>
                <c:pt idx="0">
                  <c:v>Abuja Central</c:v>
                </c:pt>
                <c:pt idx="1">
                  <c:v>Enugu</c:v>
                </c:pt>
                <c:pt idx="2">
                  <c:v>Ikeja</c:v>
                </c:pt>
                <c:pt idx="3">
                  <c:v>Kano</c:v>
                </c:pt>
                <c:pt idx="4">
                  <c:v>Lagos Island</c:v>
                </c:pt>
                <c:pt idx="5">
                  <c:v>Port Harcourt</c:v>
                </c:pt>
              </c:strCache>
            </c:strRef>
          </c:cat>
          <c:val>
            <c:numRef>
              <c:f>'Store Summary'!$D$5:$D$10</c:f>
              <c:numCache>
                <c:formatCode>#,##0</c:formatCode>
                <c:ptCount val="6"/>
                <c:pt idx="0">
                  <c:v>42587943</c:v>
                </c:pt>
                <c:pt idx="1">
                  <c:v>44609129</c:v>
                </c:pt>
                <c:pt idx="2">
                  <c:v>43100915</c:v>
                </c:pt>
                <c:pt idx="3">
                  <c:v>45205930</c:v>
                </c:pt>
                <c:pt idx="4">
                  <c:v>39713785</c:v>
                </c:pt>
                <c:pt idx="5">
                  <c:v>44087613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45349757"/>
        <c:axId val="48304013"/>
      </c:barChart>
      <c:catAx>
        <c:axId val="4534975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GB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Store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8304013"/>
        <c:crosses val="autoZero"/>
        <c:auto val="1"/>
        <c:lblAlgn val="ctr"/>
        <c:lblOffset val="100"/>
        <c:noMultiLvlLbl val="0"/>
      </c:catAx>
      <c:valAx>
        <c:axId val="48304013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GB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NGN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53497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0f2a6b-7b38-4338-b812-61591c5f66d8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8</xdr:row>
      <xdr:rowOff>70560</xdr:rowOff>
    </xdr:from>
    <xdr:to>
      <xdr:col>8</xdr:col>
      <xdr:colOff>162360</xdr:colOff>
      <xdr:row>27</xdr:row>
      <xdr:rowOff>50760</xdr:rowOff>
    </xdr:to>
    <xdr:graphicFrame>
      <xdr:nvGraphicFramePr>
        <xdr:cNvPr id="2" name="Chart 1"/>
        <xdr:cNvGraphicFramePr/>
      </xdr:nvGraphicFramePr>
      <xdr:xfrm>
        <a:off x="205740" y="1663065"/>
        <a:ext cx="7705725" cy="345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 outlineLevelCol="6"/>
  <cols>
    <col min="1" max="1" width="11.1111111111111" customWidth="1"/>
    <col min="2" max="3" width="13.1111111111111" customWidth="1"/>
    <col min="4" max="4" width="13.7777777777778" customWidth="1"/>
    <col min="5" max="5" width="11.7777777777778" customWidth="1"/>
    <col min="6" max="6" width="13.7777777777778" customWidth="1"/>
    <col min="7" max="7" width="14.7777777777778" customWidth="1"/>
  </cols>
  <sheetData>
    <row r="1" spans="1:7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</row>
    <row r="2" spans="1:7">
      <c r="A2" s="19" t="s">
        <v>7</v>
      </c>
      <c r="B2" s="9" t="s">
        <v>8</v>
      </c>
      <c r="C2" s="9" t="s">
        <v>9</v>
      </c>
      <c r="D2" s="9" t="s">
        <v>10</v>
      </c>
      <c r="E2" s="9">
        <v>158</v>
      </c>
      <c r="F2" s="10">
        <v>748090</v>
      </c>
      <c r="G2" s="10">
        <v>835015</v>
      </c>
    </row>
    <row r="3" spans="1:7">
      <c r="A3" s="19" t="s">
        <v>7</v>
      </c>
      <c r="B3" s="9" t="s">
        <v>8</v>
      </c>
      <c r="C3" s="9" t="s">
        <v>9</v>
      </c>
      <c r="D3" s="9" t="s">
        <v>11</v>
      </c>
      <c r="E3" s="9">
        <v>98</v>
      </c>
      <c r="F3" s="10">
        <v>824035</v>
      </c>
      <c r="G3" s="10">
        <v>741882</v>
      </c>
    </row>
    <row r="4" spans="1:7">
      <c r="A4" s="19" t="s">
        <v>7</v>
      </c>
      <c r="B4" s="9" t="s">
        <v>8</v>
      </c>
      <c r="C4" s="9" t="s">
        <v>9</v>
      </c>
      <c r="D4" s="9" t="s">
        <v>12</v>
      </c>
      <c r="E4" s="9">
        <v>153</v>
      </c>
      <c r="F4" s="10">
        <v>563479</v>
      </c>
      <c r="G4" s="10">
        <v>578244</v>
      </c>
    </row>
    <row r="5" spans="1:7">
      <c r="A5" s="19" t="s">
        <v>7</v>
      </c>
      <c r="B5" s="9" t="s">
        <v>8</v>
      </c>
      <c r="C5" s="9" t="s">
        <v>9</v>
      </c>
      <c r="D5" s="9" t="s">
        <v>13</v>
      </c>
      <c r="E5" s="9">
        <v>103</v>
      </c>
      <c r="F5" s="10">
        <v>377318</v>
      </c>
      <c r="G5" s="10">
        <v>370250</v>
      </c>
    </row>
    <row r="6" spans="1:7">
      <c r="A6" s="19" t="s">
        <v>14</v>
      </c>
      <c r="B6" s="9" t="s">
        <v>8</v>
      </c>
      <c r="C6" s="9" t="s">
        <v>9</v>
      </c>
      <c r="D6" s="9" t="s">
        <v>10</v>
      </c>
      <c r="E6" s="9">
        <v>181</v>
      </c>
      <c r="F6" s="10">
        <v>1182321</v>
      </c>
      <c r="G6" s="10">
        <v>1078372</v>
      </c>
    </row>
    <row r="7" spans="1:7">
      <c r="A7" s="19" t="s">
        <v>14</v>
      </c>
      <c r="B7" s="9" t="s">
        <v>8</v>
      </c>
      <c r="C7" s="9" t="s">
        <v>9</v>
      </c>
      <c r="D7" s="9" t="s">
        <v>11</v>
      </c>
      <c r="E7" s="9">
        <v>57</v>
      </c>
      <c r="F7" s="10">
        <v>459916</v>
      </c>
      <c r="G7" s="10">
        <v>432264</v>
      </c>
    </row>
    <row r="8" spans="1:7">
      <c r="A8" s="19" t="s">
        <v>14</v>
      </c>
      <c r="B8" s="9" t="s">
        <v>8</v>
      </c>
      <c r="C8" s="9" t="s">
        <v>9</v>
      </c>
      <c r="D8" s="9" t="s">
        <v>12</v>
      </c>
      <c r="E8" s="9">
        <v>81</v>
      </c>
      <c r="F8" s="10">
        <v>596798</v>
      </c>
      <c r="G8" s="10">
        <v>505848</v>
      </c>
    </row>
    <row r="9" spans="1:7">
      <c r="A9" s="19" t="s">
        <v>14</v>
      </c>
      <c r="B9" s="9" t="s">
        <v>8</v>
      </c>
      <c r="C9" s="9" t="s">
        <v>9</v>
      </c>
      <c r="D9" s="9" t="s">
        <v>13</v>
      </c>
      <c r="E9" s="9">
        <v>41</v>
      </c>
      <c r="F9" s="10">
        <v>363679</v>
      </c>
      <c r="G9" s="10">
        <v>437137</v>
      </c>
    </row>
    <row r="10" spans="1:7">
      <c r="A10" s="19" t="s">
        <v>15</v>
      </c>
      <c r="B10" s="9" t="s">
        <v>8</v>
      </c>
      <c r="C10" s="9" t="s">
        <v>9</v>
      </c>
      <c r="D10" s="9" t="s">
        <v>10</v>
      </c>
      <c r="E10" s="9">
        <v>251</v>
      </c>
      <c r="F10" s="10">
        <v>1014958</v>
      </c>
      <c r="G10" s="10">
        <v>1271232</v>
      </c>
    </row>
    <row r="11" spans="1:7">
      <c r="A11" s="19" t="s">
        <v>15</v>
      </c>
      <c r="B11" s="9" t="s">
        <v>8</v>
      </c>
      <c r="C11" s="9" t="s">
        <v>9</v>
      </c>
      <c r="D11" s="9" t="s">
        <v>11</v>
      </c>
      <c r="E11" s="9">
        <v>109</v>
      </c>
      <c r="F11" s="10">
        <v>866470</v>
      </c>
      <c r="G11" s="10">
        <v>808496</v>
      </c>
    </row>
    <row r="12" spans="1:7">
      <c r="A12" s="19" t="s">
        <v>15</v>
      </c>
      <c r="B12" s="9" t="s">
        <v>8</v>
      </c>
      <c r="C12" s="9" t="s">
        <v>9</v>
      </c>
      <c r="D12" s="9" t="s">
        <v>12</v>
      </c>
      <c r="E12" s="9">
        <v>135</v>
      </c>
      <c r="F12" s="10">
        <v>1197943</v>
      </c>
      <c r="G12" s="10">
        <v>1156758</v>
      </c>
    </row>
    <row r="13" spans="1:7">
      <c r="A13" s="19" t="s">
        <v>15</v>
      </c>
      <c r="B13" s="9" t="s">
        <v>8</v>
      </c>
      <c r="C13" s="9" t="s">
        <v>9</v>
      </c>
      <c r="D13" s="9" t="s">
        <v>13</v>
      </c>
      <c r="E13" s="9">
        <v>59</v>
      </c>
      <c r="F13" s="10">
        <v>478381</v>
      </c>
      <c r="G13" s="10">
        <v>458193</v>
      </c>
    </row>
    <row r="14" spans="1:7">
      <c r="A14" s="19" t="s">
        <v>16</v>
      </c>
      <c r="B14" s="9" t="s">
        <v>8</v>
      </c>
      <c r="C14" s="9" t="s">
        <v>9</v>
      </c>
      <c r="D14" s="9" t="s">
        <v>10</v>
      </c>
      <c r="E14" s="9">
        <v>301</v>
      </c>
      <c r="F14" s="10">
        <v>2015253</v>
      </c>
      <c r="G14" s="10">
        <v>1665927</v>
      </c>
    </row>
    <row r="15" spans="1:7">
      <c r="A15" s="19" t="s">
        <v>16</v>
      </c>
      <c r="B15" s="9" t="s">
        <v>8</v>
      </c>
      <c r="C15" s="9" t="s">
        <v>9</v>
      </c>
      <c r="D15" s="9" t="s">
        <v>11</v>
      </c>
      <c r="E15" s="9">
        <v>117</v>
      </c>
      <c r="F15" s="10">
        <v>558903</v>
      </c>
      <c r="G15" s="10">
        <v>722743</v>
      </c>
    </row>
    <row r="16" spans="1:7">
      <c r="A16" s="19" t="s">
        <v>16</v>
      </c>
      <c r="B16" s="9" t="s">
        <v>8</v>
      </c>
      <c r="C16" s="9" t="s">
        <v>9</v>
      </c>
      <c r="D16" s="9" t="s">
        <v>12</v>
      </c>
      <c r="E16" s="9">
        <v>125</v>
      </c>
      <c r="F16" s="10">
        <v>601877</v>
      </c>
      <c r="G16" s="10">
        <v>760449</v>
      </c>
    </row>
    <row r="17" spans="1:7">
      <c r="A17" s="19" t="s">
        <v>16</v>
      </c>
      <c r="B17" s="9" t="s">
        <v>8</v>
      </c>
      <c r="C17" s="9" t="s">
        <v>9</v>
      </c>
      <c r="D17" s="9" t="s">
        <v>13</v>
      </c>
      <c r="E17" s="9">
        <v>39</v>
      </c>
      <c r="F17" s="10">
        <v>274223</v>
      </c>
      <c r="G17" s="10">
        <v>305550</v>
      </c>
    </row>
    <row r="18" spans="1:7">
      <c r="A18" s="19" t="s">
        <v>17</v>
      </c>
      <c r="B18" s="9" t="s">
        <v>8</v>
      </c>
      <c r="C18" s="9" t="s">
        <v>9</v>
      </c>
      <c r="D18" s="9" t="s">
        <v>10</v>
      </c>
      <c r="E18" s="9">
        <v>266</v>
      </c>
      <c r="F18" s="10">
        <v>1241023</v>
      </c>
      <c r="G18" s="10">
        <v>1310765</v>
      </c>
    </row>
    <row r="19" spans="1:7">
      <c r="A19" s="19" t="s">
        <v>17</v>
      </c>
      <c r="B19" s="9" t="s">
        <v>8</v>
      </c>
      <c r="C19" s="9" t="s">
        <v>9</v>
      </c>
      <c r="D19" s="9" t="s">
        <v>11</v>
      </c>
      <c r="E19" s="9">
        <v>81</v>
      </c>
      <c r="F19" s="10">
        <v>575129</v>
      </c>
      <c r="G19" s="10">
        <v>460186</v>
      </c>
    </row>
    <row r="20" spans="1:7">
      <c r="A20" s="19" t="s">
        <v>17</v>
      </c>
      <c r="B20" s="9" t="s">
        <v>8</v>
      </c>
      <c r="C20" s="9" t="s">
        <v>9</v>
      </c>
      <c r="D20" s="9" t="s">
        <v>12</v>
      </c>
      <c r="E20" s="9">
        <v>117</v>
      </c>
      <c r="F20" s="10">
        <v>880852</v>
      </c>
      <c r="G20" s="10">
        <v>1048217</v>
      </c>
    </row>
    <row r="21" spans="1:7">
      <c r="A21" s="19" t="s">
        <v>17</v>
      </c>
      <c r="B21" s="9" t="s">
        <v>8</v>
      </c>
      <c r="C21" s="9" t="s">
        <v>9</v>
      </c>
      <c r="D21" s="9" t="s">
        <v>13</v>
      </c>
      <c r="E21" s="9">
        <v>36</v>
      </c>
      <c r="F21" s="10">
        <v>323473</v>
      </c>
      <c r="G21" s="10">
        <v>339871</v>
      </c>
    </row>
    <row r="22" spans="1:7">
      <c r="A22" s="19" t="s">
        <v>18</v>
      </c>
      <c r="B22" s="9" t="s">
        <v>8</v>
      </c>
      <c r="C22" s="9" t="s">
        <v>9</v>
      </c>
      <c r="D22" s="9" t="s">
        <v>10</v>
      </c>
      <c r="E22" s="9">
        <v>244</v>
      </c>
      <c r="F22" s="10">
        <v>1775181</v>
      </c>
      <c r="G22" s="10">
        <v>1695999</v>
      </c>
    </row>
    <row r="23" spans="1:7">
      <c r="A23" s="19" t="s">
        <v>18</v>
      </c>
      <c r="B23" s="9" t="s">
        <v>8</v>
      </c>
      <c r="C23" s="9" t="s">
        <v>9</v>
      </c>
      <c r="D23" s="9" t="s">
        <v>11</v>
      </c>
      <c r="E23" s="9">
        <v>197</v>
      </c>
      <c r="F23" s="10">
        <v>937725</v>
      </c>
      <c r="G23" s="10">
        <v>805711</v>
      </c>
    </row>
    <row r="24" spans="1:7">
      <c r="A24" s="19" t="s">
        <v>18</v>
      </c>
      <c r="B24" s="9" t="s">
        <v>8</v>
      </c>
      <c r="C24" s="9" t="s">
        <v>9</v>
      </c>
      <c r="D24" s="9" t="s">
        <v>12</v>
      </c>
      <c r="E24" s="9">
        <v>97</v>
      </c>
      <c r="F24" s="10">
        <v>485267</v>
      </c>
      <c r="G24" s="10">
        <v>528890</v>
      </c>
    </row>
    <row r="25" spans="1:7">
      <c r="A25" s="19" t="s">
        <v>18</v>
      </c>
      <c r="B25" s="9" t="s">
        <v>8</v>
      </c>
      <c r="C25" s="9" t="s">
        <v>9</v>
      </c>
      <c r="D25" s="9" t="s">
        <v>13</v>
      </c>
      <c r="E25" s="9">
        <v>55</v>
      </c>
      <c r="F25" s="10">
        <v>458692</v>
      </c>
      <c r="G25" s="10">
        <v>366040</v>
      </c>
    </row>
    <row r="26" spans="1:7">
      <c r="A26" s="19" t="s">
        <v>19</v>
      </c>
      <c r="B26" s="9" t="s">
        <v>8</v>
      </c>
      <c r="C26" s="9" t="s">
        <v>9</v>
      </c>
      <c r="D26" s="9" t="s">
        <v>10</v>
      </c>
      <c r="E26" s="9">
        <v>240</v>
      </c>
      <c r="F26" s="10">
        <v>1363816</v>
      </c>
      <c r="G26" s="10">
        <v>1240549</v>
      </c>
    </row>
    <row r="27" spans="1:7">
      <c r="A27" s="19" t="s">
        <v>19</v>
      </c>
      <c r="B27" s="9" t="s">
        <v>8</v>
      </c>
      <c r="C27" s="9" t="s">
        <v>9</v>
      </c>
      <c r="D27" s="9" t="s">
        <v>11</v>
      </c>
      <c r="E27" s="9">
        <v>170</v>
      </c>
      <c r="F27" s="10">
        <v>843821</v>
      </c>
      <c r="G27" s="10">
        <v>848728</v>
      </c>
    </row>
    <row r="28" spans="1:7">
      <c r="A28" s="19" t="s">
        <v>19</v>
      </c>
      <c r="B28" s="9" t="s">
        <v>8</v>
      </c>
      <c r="C28" s="9" t="s">
        <v>9</v>
      </c>
      <c r="D28" s="9" t="s">
        <v>12</v>
      </c>
      <c r="E28" s="9">
        <v>153</v>
      </c>
      <c r="F28" s="10">
        <v>757376</v>
      </c>
      <c r="G28" s="10">
        <v>721964</v>
      </c>
    </row>
    <row r="29" spans="1:7">
      <c r="A29" s="19" t="s">
        <v>19</v>
      </c>
      <c r="B29" s="9" t="s">
        <v>8</v>
      </c>
      <c r="C29" s="9" t="s">
        <v>9</v>
      </c>
      <c r="D29" s="9" t="s">
        <v>13</v>
      </c>
      <c r="E29" s="9">
        <v>123</v>
      </c>
      <c r="F29" s="10">
        <v>702403</v>
      </c>
      <c r="G29" s="10">
        <v>571522</v>
      </c>
    </row>
    <row r="30" spans="1:7">
      <c r="A30" s="19" t="s">
        <v>20</v>
      </c>
      <c r="B30" s="9" t="s">
        <v>8</v>
      </c>
      <c r="C30" s="9" t="s">
        <v>9</v>
      </c>
      <c r="D30" s="9" t="s">
        <v>10</v>
      </c>
      <c r="E30" s="9">
        <v>225</v>
      </c>
      <c r="F30" s="10">
        <v>1419612</v>
      </c>
      <c r="G30" s="10">
        <v>1107049</v>
      </c>
    </row>
    <row r="31" spans="1:7">
      <c r="A31" s="19" t="s">
        <v>20</v>
      </c>
      <c r="B31" s="9" t="s">
        <v>8</v>
      </c>
      <c r="C31" s="9" t="s">
        <v>9</v>
      </c>
      <c r="D31" s="9" t="s">
        <v>11</v>
      </c>
      <c r="E31" s="9">
        <v>66</v>
      </c>
      <c r="F31" s="10">
        <v>274417</v>
      </c>
      <c r="G31" s="10">
        <v>354545</v>
      </c>
    </row>
    <row r="32" spans="1:7">
      <c r="A32" s="19" t="s">
        <v>20</v>
      </c>
      <c r="B32" s="9" t="s">
        <v>8</v>
      </c>
      <c r="C32" s="9" t="s">
        <v>9</v>
      </c>
      <c r="D32" s="9" t="s">
        <v>12</v>
      </c>
      <c r="E32" s="9">
        <v>214</v>
      </c>
      <c r="F32" s="10">
        <v>1248306</v>
      </c>
      <c r="G32" s="10">
        <v>1064701</v>
      </c>
    </row>
    <row r="33" spans="1:7">
      <c r="A33" s="19" t="s">
        <v>20</v>
      </c>
      <c r="B33" s="9" t="s">
        <v>8</v>
      </c>
      <c r="C33" s="9" t="s">
        <v>9</v>
      </c>
      <c r="D33" s="9" t="s">
        <v>13</v>
      </c>
      <c r="E33" s="9">
        <v>30</v>
      </c>
      <c r="F33" s="10">
        <v>271522</v>
      </c>
      <c r="G33" s="10">
        <v>284940</v>
      </c>
    </row>
    <row r="34" spans="1:7">
      <c r="A34" s="19" t="s">
        <v>21</v>
      </c>
      <c r="B34" s="9" t="s">
        <v>8</v>
      </c>
      <c r="C34" s="9" t="s">
        <v>9</v>
      </c>
      <c r="D34" s="9" t="s">
        <v>10</v>
      </c>
      <c r="E34" s="9">
        <v>237</v>
      </c>
      <c r="F34" s="10">
        <v>1953972</v>
      </c>
      <c r="G34" s="10">
        <v>1540760</v>
      </c>
    </row>
    <row r="35" spans="1:7">
      <c r="A35" s="19" t="s">
        <v>21</v>
      </c>
      <c r="B35" s="9" t="s">
        <v>8</v>
      </c>
      <c r="C35" s="9" t="s">
        <v>9</v>
      </c>
      <c r="D35" s="9" t="s">
        <v>11</v>
      </c>
      <c r="E35" s="9">
        <v>48</v>
      </c>
      <c r="F35" s="10">
        <v>348097</v>
      </c>
      <c r="G35" s="10">
        <v>306888</v>
      </c>
    </row>
    <row r="36" spans="1:7">
      <c r="A36" s="19" t="s">
        <v>21</v>
      </c>
      <c r="B36" s="9" t="s">
        <v>8</v>
      </c>
      <c r="C36" s="9" t="s">
        <v>9</v>
      </c>
      <c r="D36" s="9" t="s">
        <v>12</v>
      </c>
      <c r="E36" s="9">
        <v>124</v>
      </c>
      <c r="F36" s="10">
        <v>876600</v>
      </c>
      <c r="G36" s="10">
        <v>983273</v>
      </c>
    </row>
    <row r="37" spans="1:7">
      <c r="A37" s="19" t="s">
        <v>21</v>
      </c>
      <c r="B37" s="9" t="s">
        <v>8</v>
      </c>
      <c r="C37" s="9" t="s">
        <v>9</v>
      </c>
      <c r="D37" s="9" t="s">
        <v>13</v>
      </c>
      <c r="E37" s="9">
        <v>50</v>
      </c>
      <c r="F37" s="10">
        <v>305542</v>
      </c>
      <c r="G37" s="10">
        <v>311353</v>
      </c>
    </row>
    <row r="38" spans="1:7">
      <c r="A38" s="19" t="s">
        <v>22</v>
      </c>
      <c r="B38" s="9" t="s">
        <v>8</v>
      </c>
      <c r="C38" s="9" t="s">
        <v>9</v>
      </c>
      <c r="D38" s="9" t="s">
        <v>10</v>
      </c>
      <c r="E38" s="9">
        <v>525</v>
      </c>
      <c r="F38" s="10">
        <v>2599256</v>
      </c>
      <c r="G38" s="10">
        <v>2135342</v>
      </c>
    </row>
    <row r="39" spans="1:7">
      <c r="A39" s="19" t="s">
        <v>22</v>
      </c>
      <c r="B39" s="9" t="s">
        <v>8</v>
      </c>
      <c r="C39" s="9" t="s">
        <v>9</v>
      </c>
      <c r="D39" s="9" t="s">
        <v>11</v>
      </c>
      <c r="E39" s="9">
        <v>59</v>
      </c>
      <c r="F39" s="10">
        <v>506907</v>
      </c>
      <c r="G39" s="10">
        <v>600351</v>
      </c>
    </row>
    <row r="40" spans="1:7">
      <c r="A40" s="19" t="s">
        <v>22</v>
      </c>
      <c r="B40" s="9" t="s">
        <v>8</v>
      </c>
      <c r="C40" s="9" t="s">
        <v>9</v>
      </c>
      <c r="D40" s="9" t="s">
        <v>12</v>
      </c>
      <c r="E40" s="9">
        <v>166</v>
      </c>
      <c r="F40" s="10">
        <v>1165932</v>
      </c>
      <c r="G40" s="10">
        <v>1283466</v>
      </c>
    </row>
    <row r="41" spans="1:7">
      <c r="A41" s="19" t="s">
        <v>22</v>
      </c>
      <c r="B41" s="9" t="s">
        <v>8</v>
      </c>
      <c r="C41" s="9" t="s">
        <v>9</v>
      </c>
      <c r="D41" s="9" t="s">
        <v>13</v>
      </c>
      <c r="E41" s="9">
        <v>63</v>
      </c>
      <c r="F41" s="10">
        <v>485814</v>
      </c>
      <c r="G41" s="10">
        <v>584933</v>
      </c>
    </row>
    <row r="42" spans="1:7">
      <c r="A42" s="19" t="s">
        <v>23</v>
      </c>
      <c r="B42" s="9" t="s">
        <v>8</v>
      </c>
      <c r="C42" s="9" t="s">
        <v>9</v>
      </c>
      <c r="D42" s="9" t="s">
        <v>10</v>
      </c>
      <c r="E42" s="9">
        <v>381</v>
      </c>
      <c r="F42" s="10">
        <v>2446361</v>
      </c>
      <c r="G42" s="10">
        <v>1555130</v>
      </c>
    </row>
    <row r="43" spans="1:7">
      <c r="A43" s="19" t="s">
        <v>23</v>
      </c>
      <c r="B43" s="9" t="s">
        <v>8</v>
      </c>
      <c r="C43" s="9" t="s">
        <v>9</v>
      </c>
      <c r="D43" s="9" t="s">
        <v>11</v>
      </c>
      <c r="E43" s="9">
        <v>103</v>
      </c>
      <c r="F43" s="10">
        <v>373908</v>
      </c>
      <c r="G43" s="10">
        <v>300343</v>
      </c>
    </row>
    <row r="44" spans="1:7">
      <c r="A44" s="19" t="s">
        <v>23</v>
      </c>
      <c r="B44" s="9" t="s">
        <v>8</v>
      </c>
      <c r="C44" s="9" t="s">
        <v>9</v>
      </c>
      <c r="D44" s="9" t="s">
        <v>12</v>
      </c>
      <c r="E44" s="9">
        <v>272</v>
      </c>
      <c r="F44" s="10">
        <v>2198518</v>
      </c>
      <c r="G44" s="10">
        <v>1336188</v>
      </c>
    </row>
    <row r="45" spans="1:7">
      <c r="A45" s="19" t="s">
        <v>23</v>
      </c>
      <c r="B45" s="9" t="s">
        <v>8</v>
      </c>
      <c r="C45" s="9" t="s">
        <v>9</v>
      </c>
      <c r="D45" s="9" t="s">
        <v>13</v>
      </c>
      <c r="E45" s="9">
        <v>52</v>
      </c>
      <c r="F45" s="10">
        <v>441222</v>
      </c>
      <c r="G45" s="10">
        <v>419132</v>
      </c>
    </row>
    <row r="46" spans="1:7">
      <c r="A46" s="19" t="s">
        <v>24</v>
      </c>
      <c r="B46" s="9" t="s">
        <v>8</v>
      </c>
      <c r="C46" s="9" t="s">
        <v>9</v>
      </c>
      <c r="D46" s="9" t="s">
        <v>10</v>
      </c>
      <c r="E46" s="9">
        <v>369</v>
      </c>
      <c r="F46" s="10">
        <v>2280324</v>
      </c>
      <c r="G46" s="10">
        <v>2125729</v>
      </c>
    </row>
    <row r="47" spans="1:7">
      <c r="A47" s="19" t="s">
        <v>24</v>
      </c>
      <c r="B47" s="9" t="s">
        <v>8</v>
      </c>
      <c r="C47" s="9" t="s">
        <v>9</v>
      </c>
      <c r="D47" s="9" t="s">
        <v>11</v>
      </c>
      <c r="E47" s="9">
        <v>69</v>
      </c>
      <c r="F47" s="10">
        <v>532808</v>
      </c>
      <c r="G47" s="10">
        <v>341527</v>
      </c>
    </row>
    <row r="48" spans="1:7">
      <c r="A48" s="19" t="s">
        <v>24</v>
      </c>
      <c r="B48" s="9" t="s">
        <v>8</v>
      </c>
      <c r="C48" s="9" t="s">
        <v>9</v>
      </c>
      <c r="D48" s="9" t="s">
        <v>12</v>
      </c>
      <c r="E48" s="9">
        <v>127</v>
      </c>
      <c r="F48" s="10">
        <v>833494</v>
      </c>
      <c r="G48" s="10">
        <v>615552</v>
      </c>
    </row>
    <row r="49" spans="1:7">
      <c r="A49" s="19" t="s">
        <v>24</v>
      </c>
      <c r="B49" s="9" t="s">
        <v>8</v>
      </c>
      <c r="C49" s="9" t="s">
        <v>9</v>
      </c>
      <c r="D49" s="9" t="s">
        <v>13</v>
      </c>
      <c r="E49" s="9">
        <v>111</v>
      </c>
      <c r="F49" s="10">
        <v>649407</v>
      </c>
      <c r="G49" s="10">
        <v>395781</v>
      </c>
    </row>
    <row r="50" spans="1:7">
      <c r="A50" s="19" t="s">
        <v>7</v>
      </c>
      <c r="B50" s="9" t="s">
        <v>25</v>
      </c>
      <c r="C50" s="9" t="s">
        <v>9</v>
      </c>
      <c r="D50" s="9" t="s">
        <v>10</v>
      </c>
      <c r="E50" s="9">
        <v>307</v>
      </c>
      <c r="F50" s="10">
        <v>1417399</v>
      </c>
      <c r="G50" s="10">
        <v>1555014</v>
      </c>
    </row>
    <row r="51" spans="1:7">
      <c r="A51" s="19" t="s">
        <v>7</v>
      </c>
      <c r="B51" s="9" t="s">
        <v>25</v>
      </c>
      <c r="C51" s="9" t="s">
        <v>9</v>
      </c>
      <c r="D51" s="9" t="s">
        <v>11</v>
      </c>
      <c r="E51" s="9">
        <v>70</v>
      </c>
      <c r="F51" s="10">
        <v>499206</v>
      </c>
      <c r="G51" s="10">
        <v>487029</v>
      </c>
    </row>
    <row r="52" spans="1:7">
      <c r="A52" s="19" t="s">
        <v>7</v>
      </c>
      <c r="B52" s="9" t="s">
        <v>25</v>
      </c>
      <c r="C52" s="9" t="s">
        <v>9</v>
      </c>
      <c r="D52" s="9" t="s">
        <v>12</v>
      </c>
      <c r="E52" s="9">
        <v>176</v>
      </c>
      <c r="F52" s="10">
        <v>733877</v>
      </c>
      <c r="G52" s="10">
        <v>894290</v>
      </c>
    </row>
    <row r="53" spans="1:7">
      <c r="A53" s="19" t="s">
        <v>7</v>
      </c>
      <c r="B53" s="9" t="s">
        <v>25</v>
      </c>
      <c r="C53" s="9" t="s">
        <v>9</v>
      </c>
      <c r="D53" s="9" t="s">
        <v>13</v>
      </c>
      <c r="E53" s="9">
        <v>41</v>
      </c>
      <c r="F53" s="10">
        <v>277875</v>
      </c>
      <c r="G53" s="10">
        <v>373583</v>
      </c>
    </row>
    <row r="54" spans="1:7">
      <c r="A54" s="19" t="s">
        <v>14</v>
      </c>
      <c r="B54" s="9" t="s">
        <v>25</v>
      </c>
      <c r="C54" s="9" t="s">
        <v>9</v>
      </c>
      <c r="D54" s="9" t="s">
        <v>10</v>
      </c>
      <c r="E54" s="9">
        <v>199</v>
      </c>
      <c r="F54" s="10">
        <v>778073</v>
      </c>
      <c r="G54" s="10">
        <v>1122160</v>
      </c>
    </row>
    <row r="55" spans="1:7">
      <c r="A55" s="19" t="s">
        <v>14</v>
      </c>
      <c r="B55" s="9" t="s">
        <v>25</v>
      </c>
      <c r="C55" s="9" t="s">
        <v>9</v>
      </c>
      <c r="D55" s="9" t="s">
        <v>11</v>
      </c>
      <c r="E55" s="9">
        <v>55</v>
      </c>
      <c r="F55" s="10">
        <v>473097</v>
      </c>
      <c r="G55" s="10">
        <v>678661</v>
      </c>
    </row>
    <row r="56" spans="1:7">
      <c r="A56" s="19" t="s">
        <v>14</v>
      </c>
      <c r="B56" s="9" t="s">
        <v>25</v>
      </c>
      <c r="C56" s="9" t="s">
        <v>9</v>
      </c>
      <c r="D56" s="9" t="s">
        <v>12</v>
      </c>
      <c r="E56" s="9">
        <v>166</v>
      </c>
      <c r="F56" s="10">
        <v>801715</v>
      </c>
      <c r="G56" s="10">
        <v>1273671</v>
      </c>
    </row>
    <row r="57" spans="1:7">
      <c r="A57" s="19" t="s">
        <v>14</v>
      </c>
      <c r="B57" s="9" t="s">
        <v>25</v>
      </c>
      <c r="C57" s="9" t="s">
        <v>9</v>
      </c>
      <c r="D57" s="9" t="s">
        <v>13</v>
      </c>
      <c r="E57" s="9">
        <v>100</v>
      </c>
      <c r="F57" s="10">
        <v>426878</v>
      </c>
      <c r="G57" s="10">
        <v>617937</v>
      </c>
    </row>
    <row r="58" spans="1:7">
      <c r="A58" s="19" t="s">
        <v>15</v>
      </c>
      <c r="B58" s="9" t="s">
        <v>25</v>
      </c>
      <c r="C58" s="9" t="s">
        <v>9</v>
      </c>
      <c r="D58" s="9" t="s">
        <v>10</v>
      </c>
      <c r="E58" s="9">
        <v>291</v>
      </c>
      <c r="F58" s="10">
        <v>1779562</v>
      </c>
      <c r="G58" s="10">
        <v>2109719</v>
      </c>
    </row>
    <row r="59" spans="1:7">
      <c r="A59" s="19" t="s">
        <v>15</v>
      </c>
      <c r="B59" s="9" t="s">
        <v>25</v>
      </c>
      <c r="C59" s="9" t="s">
        <v>9</v>
      </c>
      <c r="D59" s="9" t="s">
        <v>11</v>
      </c>
      <c r="E59" s="9">
        <v>160</v>
      </c>
      <c r="F59" s="10">
        <v>728145</v>
      </c>
      <c r="G59" s="10">
        <v>770771</v>
      </c>
    </row>
    <row r="60" spans="1:7">
      <c r="A60" s="19" t="s">
        <v>15</v>
      </c>
      <c r="B60" s="9" t="s">
        <v>25</v>
      </c>
      <c r="C60" s="9" t="s">
        <v>9</v>
      </c>
      <c r="D60" s="9" t="s">
        <v>12</v>
      </c>
      <c r="E60" s="9">
        <v>78</v>
      </c>
      <c r="F60" s="10">
        <v>460157</v>
      </c>
      <c r="G60" s="10">
        <v>587237</v>
      </c>
    </row>
    <row r="61" spans="1:7">
      <c r="A61" s="19" t="s">
        <v>15</v>
      </c>
      <c r="B61" s="9" t="s">
        <v>25</v>
      </c>
      <c r="C61" s="9" t="s">
        <v>9</v>
      </c>
      <c r="D61" s="9" t="s">
        <v>13</v>
      </c>
      <c r="E61" s="9">
        <v>64</v>
      </c>
      <c r="F61" s="10">
        <v>461821</v>
      </c>
      <c r="G61" s="10">
        <v>506863</v>
      </c>
    </row>
    <row r="62" spans="1:7">
      <c r="A62" s="19" t="s">
        <v>16</v>
      </c>
      <c r="B62" s="9" t="s">
        <v>25</v>
      </c>
      <c r="C62" s="9" t="s">
        <v>9</v>
      </c>
      <c r="D62" s="9" t="s">
        <v>10</v>
      </c>
      <c r="E62" s="9">
        <v>244</v>
      </c>
      <c r="F62" s="10">
        <v>1396528</v>
      </c>
      <c r="G62" s="10">
        <v>2177831</v>
      </c>
    </row>
    <row r="63" spans="1:7">
      <c r="A63" s="19" t="s">
        <v>16</v>
      </c>
      <c r="B63" s="9" t="s">
        <v>25</v>
      </c>
      <c r="C63" s="9" t="s">
        <v>9</v>
      </c>
      <c r="D63" s="9" t="s">
        <v>11</v>
      </c>
      <c r="E63" s="9">
        <v>100</v>
      </c>
      <c r="F63" s="10">
        <v>487406</v>
      </c>
      <c r="G63" s="10">
        <v>503581</v>
      </c>
    </row>
    <row r="64" spans="1:7">
      <c r="A64" s="19" t="s">
        <v>16</v>
      </c>
      <c r="B64" s="9" t="s">
        <v>25</v>
      </c>
      <c r="C64" s="9" t="s">
        <v>9</v>
      </c>
      <c r="D64" s="9" t="s">
        <v>12</v>
      </c>
      <c r="E64" s="9">
        <v>91</v>
      </c>
      <c r="F64" s="10">
        <v>530985</v>
      </c>
      <c r="G64" s="10">
        <v>671188</v>
      </c>
    </row>
    <row r="65" spans="1:7">
      <c r="A65" s="19" t="s">
        <v>16</v>
      </c>
      <c r="B65" s="9" t="s">
        <v>25</v>
      </c>
      <c r="C65" s="9" t="s">
        <v>9</v>
      </c>
      <c r="D65" s="9" t="s">
        <v>13</v>
      </c>
      <c r="E65" s="9">
        <v>33</v>
      </c>
      <c r="F65" s="10">
        <v>284672</v>
      </c>
      <c r="G65" s="10">
        <v>403199</v>
      </c>
    </row>
    <row r="66" spans="1:7">
      <c r="A66" s="19" t="s">
        <v>17</v>
      </c>
      <c r="B66" s="9" t="s">
        <v>25</v>
      </c>
      <c r="C66" s="9" t="s">
        <v>9</v>
      </c>
      <c r="D66" s="9" t="s">
        <v>10</v>
      </c>
      <c r="E66" s="9">
        <v>210</v>
      </c>
      <c r="F66" s="10">
        <v>1374566</v>
      </c>
      <c r="G66" s="10">
        <v>1420383</v>
      </c>
    </row>
    <row r="67" spans="1:7">
      <c r="A67" s="19" t="s">
        <v>17</v>
      </c>
      <c r="B67" s="9" t="s">
        <v>25</v>
      </c>
      <c r="C67" s="9" t="s">
        <v>9</v>
      </c>
      <c r="D67" s="9" t="s">
        <v>11</v>
      </c>
      <c r="E67" s="9">
        <v>41</v>
      </c>
      <c r="F67" s="10">
        <v>339196</v>
      </c>
      <c r="G67" s="10">
        <v>330352</v>
      </c>
    </row>
    <row r="68" spans="1:7">
      <c r="A68" s="19" t="s">
        <v>17</v>
      </c>
      <c r="B68" s="9" t="s">
        <v>25</v>
      </c>
      <c r="C68" s="9" t="s">
        <v>9</v>
      </c>
      <c r="D68" s="9" t="s">
        <v>12</v>
      </c>
      <c r="E68" s="9">
        <v>167</v>
      </c>
      <c r="F68" s="10">
        <v>1366014</v>
      </c>
      <c r="G68" s="10">
        <v>1372096</v>
      </c>
    </row>
    <row r="69" spans="1:7">
      <c r="A69" s="19" t="s">
        <v>17</v>
      </c>
      <c r="B69" s="9" t="s">
        <v>25</v>
      </c>
      <c r="C69" s="9" t="s">
        <v>9</v>
      </c>
      <c r="D69" s="9" t="s">
        <v>13</v>
      </c>
      <c r="E69" s="9">
        <v>58</v>
      </c>
      <c r="F69" s="10">
        <v>275553</v>
      </c>
      <c r="G69" s="10">
        <v>341471</v>
      </c>
    </row>
    <row r="70" spans="1:7">
      <c r="A70" s="19" t="s">
        <v>18</v>
      </c>
      <c r="B70" s="9" t="s">
        <v>25</v>
      </c>
      <c r="C70" s="9" t="s">
        <v>9</v>
      </c>
      <c r="D70" s="9" t="s">
        <v>10</v>
      </c>
      <c r="E70" s="9">
        <v>152</v>
      </c>
      <c r="F70" s="10">
        <v>849851</v>
      </c>
      <c r="G70" s="10">
        <v>1361456</v>
      </c>
    </row>
    <row r="71" spans="1:7">
      <c r="A71" s="19" t="s">
        <v>18</v>
      </c>
      <c r="B71" s="9" t="s">
        <v>25</v>
      </c>
      <c r="C71" s="9" t="s">
        <v>9</v>
      </c>
      <c r="D71" s="9" t="s">
        <v>11</v>
      </c>
      <c r="E71" s="9">
        <v>81</v>
      </c>
      <c r="F71" s="10">
        <v>635078</v>
      </c>
      <c r="G71" s="10">
        <v>891185</v>
      </c>
    </row>
    <row r="72" spans="1:7">
      <c r="A72" s="19" t="s">
        <v>18</v>
      </c>
      <c r="B72" s="9" t="s">
        <v>25</v>
      </c>
      <c r="C72" s="9" t="s">
        <v>9</v>
      </c>
      <c r="D72" s="9" t="s">
        <v>12</v>
      </c>
      <c r="E72" s="9">
        <v>80</v>
      </c>
      <c r="F72" s="10">
        <v>709556</v>
      </c>
      <c r="G72" s="10">
        <v>909507</v>
      </c>
    </row>
    <row r="73" spans="1:7">
      <c r="A73" s="19" t="s">
        <v>18</v>
      </c>
      <c r="B73" s="9" t="s">
        <v>25</v>
      </c>
      <c r="C73" s="9" t="s">
        <v>9</v>
      </c>
      <c r="D73" s="9" t="s">
        <v>13</v>
      </c>
      <c r="E73" s="9">
        <v>89</v>
      </c>
      <c r="F73" s="10">
        <v>667468</v>
      </c>
      <c r="G73" s="10">
        <v>797482</v>
      </c>
    </row>
    <row r="74" spans="1:7">
      <c r="A74" s="19" t="s">
        <v>19</v>
      </c>
      <c r="B74" s="9" t="s">
        <v>25</v>
      </c>
      <c r="C74" s="9" t="s">
        <v>9</v>
      </c>
      <c r="D74" s="9" t="s">
        <v>10</v>
      </c>
      <c r="E74" s="9">
        <v>83</v>
      </c>
      <c r="F74" s="10">
        <v>738242</v>
      </c>
      <c r="G74" s="10">
        <v>1016715</v>
      </c>
    </row>
    <row r="75" spans="1:7">
      <c r="A75" s="19" t="s">
        <v>19</v>
      </c>
      <c r="B75" s="9" t="s">
        <v>25</v>
      </c>
      <c r="C75" s="9" t="s">
        <v>9</v>
      </c>
      <c r="D75" s="9" t="s">
        <v>11</v>
      </c>
      <c r="E75" s="9">
        <v>70</v>
      </c>
      <c r="F75" s="10">
        <v>538183</v>
      </c>
      <c r="G75" s="10">
        <v>647508</v>
      </c>
    </row>
    <row r="76" spans="1:7">
      <c r="A76" s="19" t="s">
        <v>19</v>
      </c>
      <c r="B76" s="9" t="s">
        <v>25</v>
      </c>
      <c r="C76" s="9" t="s">
        <v>9</v>
      </c>
      <c r="D76" s="9" t="s">
        <v>12</v>
      </c>
      <c r="E76" s="9">
        <v>74</v>
      </c>
      <c r="F76" s="10">
        <v>468249</v>
      </c>
      <c r="G76" s="10">
        <v>551448</v>
      </c>
    </row>
    <row r="77" spans="1:7">
      <c r="A77" s="19" t="s">
        <v>19</v>
      </c>
      <c r="B77" s="9" t="s">
        <v>25</v>
      </c>
      <c r="C77" s="9" t="s">
        <v>9</v>
      </c>
      <c r="D77" s="9" t="s">
        <v>13</v>
      </c>
      <c r="E77" s="9">
        <v>54</v>
      </c>
      <c r="F77" s="10">
        <v>479212</v>
      </c>
      <c r="G77" s="10">
        <v>718995</v>
      </c>
    </row>
    <row r="78" spans="1:7">
      <c r="A78" s="19" t="s">
        <v>20</v>
      </c>
      <c r="B78" s="9" t="s">
        <v>25</v>
      </c>
      <c r="C78" s="9" t="s">
        <v>9</v>
      </c>
      <c r="D78" s="9" t="s">
        <v>10</v>
      </c>
      <c r="E78" s="9">
        <v>91</v>
      </c>
      <c r="F78" s="10">
        <v>619037</v>
      </c>
      <c r="G78" s="10">
        <v>912156</v>
      </c>
    </row>
    <row r="79" spans="1:7">
      <c r="A79" s="19" t="s">
        <v>20</v>
      </c>
      <c r="B79" s="9" t="s">
        <v>25</v>
      </c>
      <c r="C79" s="9" t="s">
        <v>9</v>
      </c>
      <c r="D79" s="9" t="s">
        <v>11</v>
      </c>
      <c r="E79" s="9">
        <v>118</v>
      </c>
      <c r="F79" s="10">
        <v>493437</v>
      </c>
      <c r="G79" s="10">
        <v>705127</v>
      </c>
    </row>
    <row r="80" spans="1:7">
      <c r="A80" s="19" t="s">
        <v>20</v>
      </c>
      <c r="B80" s="9" t="s">
        <v>25</v>
      </c>
      <c r="C80" s="9" t="s">
        <v>9</v>
      </c>
      <c r="D80" s="9" t="s">
        <v>12</v>
      </c>
      <c r="E80" s="9">
        <v>135</v>
      </c>
      <c r="F80" s="10">
        <v>916732</v>
      </c>
      <c r="G80" s="10">
        <v>1301258</v>
      </c>
    </row>
    <row r="81" spans="1:7">
      <c r="A81" s="19" t="s">
        <v>20</v>
      </c>
      <c r="B81" s="9" t="s">
        <v>25</v>
      </c>
      <c r="C81" s="9" t="s">
        <v>9</v>
      </c>
      <c r="D81" s="9" t="s">
        <v>13</v>
      </c>
      <c r="E81" s="9">
        <v>68</v>
      </c>
      <c r="F81" s="10">
        <v>459849</v>
      </c>
      <c r="G81" s="10">
        <v>590659</v>
      </c>
    </row>
    <row r="82" spans="1:7">
      <c r="A82" s="19" t="s">
        <v>21</v>
      </c>
      <c r="B82" s="9" t="s">
        <v>25</v>
      </c>
      <c r="C82" s="9" t="s">
        <v>9</v>
      </c>
      <c r="D82" s="9" t="s">
        <v>10</v>
      </c>
      <c r="E82" s="9">
        <v>331</v>
      </c>
      <c r="F82" s="10">
        <v>1530572</v>
      </c>
      <c r="G82" s="10">
        <v>1531895</v>
      </c>
    </row>
    <row r="83" spans="1:7">
      <c r="A83" s="19" t="s">
        <v>21</v>
      </c>
      <c r="B83" s="9" t="s">
        <v>25</v>
      </c>
      <c r="C83" s="9" t="s">
        <v>9</v>
      </c>
      <c r="D83" s="9" t="s">
        <v>11</v>
      </c>
      <c r="E83" s="9">
        <v>90</v>
      </c>
      <c r="F83" s="10">
        <v>511730</v>
      </c>
      <c r="G83" s="10">
        <v>729715</v>
      </c>
    </row>
    <row r="84" spans="1:7">
      <c r="A84" s="19" t="s">
        <v>21</v>
      </c>
      <c r="B84" s="9" t="s">
        <v>25</v>
      </c>
      <c r="C84" s="9" t="s">
        <v>9</v>
      </c>
      <c r="D84" s="9" t="s">
        <v>12</v>
      </c>
      <c r="E84" s="9">
        <v>153</v>
      </c>
      <c r="F84" s="10">
        <v>803553</v>
      </c>
      <c r="G84" s="10">
        <v>1104521</v>
      </c>
    </row>
    <row r="85" spans="1:7">
      <c r="A85" s="19" t="s">
        <v>21</v>
      </c>
      <c r="B85" s="9" t="s">
        <v>25</v>
      </c>
      <c r="C85" s="9" t="s">
        <v>9</v>
      </c>
      <c r="D85" s="9" t="s">
        <v>13</v>
      </c>
      <c r="E85" s="9">
        <v>69</v>
      </c>
      <c r="F85" s="10">
        <v>418136</v>
      </c>
      <c r="G85" s="10">
        <v>663525</v>
      </c>
    </row>
    <row r="86" spans="1:7">
      <c r="A86" s="19" t="s">
        <v>22</v>
      </c>
      <c r="B86" s="9" t="s">
        <v>25</v>
      </c>
      <c r="C86" s="9" t="s">
        <v>9</v>
      </c>
      <c r="D86" s="9" t="s">
        <v>10</v>
      </c>
      <c r="E86" s="9">
        <v>577</v>
      </c>
      <c r="F86" s="10">
        <v>2253679</v>
      </c>
      <c r="G86" s="10">
        <v>2197836</v>
      </c>
    </row>
    <row r="87" spans="1:7">
      <c r="A87" s="19" t="s">
        <v>22</v>
      </c>
      <c r="B87" s="9" t="s">
        <v>25</v>
      </c>
      <c r="C87" s="9" t="s">
        <v>9</v>
      </c>
      <c r="D87" s="9" t="s">
        <v>11</v>
      </c>
      <c r="E87" s="9">
        <v>35</v>
      </c>
      <c r="F87" s="10">
        <v>304925</v>
      </c>
      <c r="G87" s="10">
        <v>427892</v>
      </c>
    </row>
    <row r="88" spans="1:7">
      <c r="A88" s="19" t="s">
        <v>22</v>
      </c>
      <c r="B88" s="9" t="s">
        <v>25</v>
      </c>
      <c r="C88" s="9" t="s">
        <v>9</v>
      </c>
      <c r="D88" s="9" t="s">
        <v>12</v>
      </c>
      <c r="E88" s="9">
        <v>227</v>
      </c>
      <c r="F88" s="10">
        <v>1260991</v>
      </c>
      <c r="G88" s="10">
        <v>1292777</v>
      </c>
    </row>
    <row r="89" spans="1:7">
      <c r="A89" s="19" t="s">
        <v>22</v>
      </c>
      <c r="B89" s="9" t="s">
        <v>25</v>
      </c>
      <c r="C89" s="9" t="s">
        <v>9</v>
      </c>
      <c r="D89" s="9" t="s">
        <v>13</v>
      </c>
      <c r="E89" s="9">
        <v>43</v>
      </c>
      <c r="F89" s="10">
        <v>321919</v>
      </c>
      <c r="G89" s="10">
        <v>336760</v>
      </c>
    </row>
    <row r="90" spans="1:7">
      <c r="A90" s="19" t="s">
        <v>23</v>
      </c>
      <c r="B90" s="9" t="s">
        <v>25</v>
      </c>
      <c r="C90" s="9" t="s">
        <v>9</v>
      </c>
      <c r="D90" s="9" t="s">
        <v>10</v>
      </c>
      <c r="E90" s="9">
        <v>321</v>
      </c>
      <c r="F90" s="10">
        <v>2284403</v>
      </c>
      <c r="G90" s="10">
        <v>1656348</v>
      </c>
    </row>
    <row r="91" spans="1:7">
      <c r="A91" s="19" t="s">
        <v>23</v>
      </c>
      <c r="B91" s="9" t="s">
        <v>25</v>
      </c>
      <c r="C91" s="9" t="s">
        <v>9</v>
      </c>
      <c r="D91" s="9" t="s">
        <v>11</v>
      </c>
      <c r="E91" s="9">
        <v>75</v>
      </c>
      <c r="F91" s="10">
        <v>390278</v>
      </c>
      <c r="G91" s="10">
        <v>304693</v>
      </c>
    </row>
    <row r="92" spans="1:7">
      <c r="A92" s="19" t="s">
        <v>23</v>
      </c>
      <c r="B92" s="9" t="s">
        <v>25</v>
      </c>
      <c r="C92" s="9" t="s">
        <v>9</v>
      </c>
      <c r="D92" s="9" t="s">
        <v>12</v>
      </c>
      <c r="E92" s="9">
        <v>349</v>
      </c>
      <c r="F92" s="10">
        <v>1482414</v>
      </c>
      <c r="G92" s="10">
        <v>1097049</v>
      </c>
    </row>
    <row r="93" spans="1:7">
      <c r="A93" s="19" t="s">
        <v>23</v>
      </c>
      <c r="B93" s="9" t="s">
        <v>25</v>
      </c>
      <c r="C93" s="9" t="s">
        <v>9</v>
      </c>
      <c r="D93" s="9" t="s">
        <v>13</v>
      </c>
      <c r="E93" s="9">
        <v>41</v>
      </c>
      <c r="F93" s="10">
        <v>272939</v>
      </c>
      <c r="G93" s="10">
        <v>313485</v>
      </c>
    </row>
    <row r="94" spans="1:7">
      <c r="A94" s="19" t="s">
        <v>24</v>
      </c>
      <c r="B94" s="9" t="s">
        <v>25</v>
      </c>
      <c r="C94" s="9" t="s">
        <v>9</v>
      </c>
      <c r="D94" s="9" t="s">
        <v>10</v>
      </c>
      <c r="E94" s="9">
        <v>183</v>
      </c>
      <c r="F94" s="10">
        <v>1368230</v>
      </c>
      <c r="G94" s="10">
        <v>1181287</v>
      </c>
    </row>
    <row r="95" spans="1:7">
      <c r="A95" s="19" t="s">
        <v>24</v>
      </c>
      <c r="B95" s="9" t="s">
        <v>25</v>
      </c>
      <c r="C95" s="9" t="s">
        <v>9</v>
      </c>
      <c r="D95" s="9" t="s">
        <v>11</v>
      </c>
      <c r="E95" s="9">
        <v>100</v>
      </c>
      <c r="F95" s="10">
        <v>496138</v>
      </c>
      <c r="G95" s="10">
        <v>422158</v>
      </c>
    </row>
    <row r="96" spans="1:7">
      <c r="A96" s="19" t="s">
        <v>24</v>
      </c>
      <c r="B96" s="9" t="s">
        <v>25</v>
      </c>
      <c r="C96" s="9" t="s">
        <v>9</v>
      </c>
      <c r="D96" s="9" t="s">
        <v>12</v>
      </c>
      <c r="E96" s="9">
        <v>153</v>
      </c>
      <c r="F96" s="10">
        <v>1251525</v>
      </c>
      <c r="G96" s="10">
        <v>939678</v>
      </c>
    </row>
    <row r="97" spans="1:7">
      <c r="A97" s="19" t="s">
        <v>24</v>
      </c>
      <c r="B97" s="9" t="s">
        <v>25</v>
      </c>
      <c r="C97" s="9" t="s">
        <v>9</v>
      </c>
      <c r="D97" s="9" t="s">
        <v>13</v>
      </c>
      <c r="E97" s="9">
        <v>63</v>
      </c>
      <c r="F97" s="10">
        <v>316866</v>
      </c>
      <c r="G97" s="10">
        <v>300764</v>
      </c>
    </row>
    <row r="98" spans="1:7">
      <c r="A98" s="19" t="s">
        <v>7</v>
      </c>
      <c r="B98" s="9" t="s">
        <v>26</v>
      </c>
      <c r="C98" s="9" t="s">
        <v>27</v>
      </c>
      <c r="D98" s="9" t="s">
        <v>10</v>
      </c>
      <c r="E98" s="9">
        <v>291</v>
      </c>
      <c r="F98" s="10">
        <v>1439227</v>
      </c>
      <c r="G98" s="10">
        <v>1879566</v>
      </c>
    </row>
    <row r="99" spans="1:7">
      <c r="A99" s="19" t="s">
        <v>7</v>
      </c>
      <c r="B99" s="9" t="s">
        <v>26</v>
      </c>
      <c r="C99" s="9" t="s">
        <v>27</v>
      </c>
      <c r="D99" s="9" t="s">
        <v>11</v>
      </c>
      <c r="E99" s="9">
        <v>93</v>
      </c>
      <c r="F99" s="10">
        <v>546347</v>
      </c>
      <c r="G99" s="10">
        <v>744738</v>
      </c>
    </row>
    <row r="100" spans="1:7">
      <c r="A100" s="19" t="s">
        <v>7</v>
      </c>
      <c r="B100" s="9" t="s">
        <v>26</v>
      </c>
      <c r="C100" s="9" t="s">
        <v>27</v>
      </c>
      <c r="D100" s="9" t="s">
        <v>12</v>
      </c>
      <c r="E100" s="9">
        <v>33</v>
      </c>
      <c r="F100" s="10">
        <v>282087</v>
      </c>
      <c r="G100" s="10">
        <v>508702</v>
      </c>
    </row>
    <row r="101" spans="1:7">
      <c r="A101" s="19" t="s">
        <v>7</v>
      </c>
      <c r="B101" s="9" t="s">
        <v>26</v>
      </c>
      <c r="C101" s="9" t="s">
        <v>27</v>
      </c>
      <c r="D101" s="9" t="s">
        <v>13</v>
      </c>
      <c r="E101" s="9">
        <v>67</v>
      </c>
      <c r="F101" s="10">
        <v>546413</v>
      </c>
      <c r="G101" s="10">
        <v>747160</v>
      </c>
    </row>
    <row r="102" spans="1:7">
      <c r="A102" s="19" t="s">
        <v>14</v>
      </c>
      <c r="B102" s="9" t="s">
        <v>26</v>
      </c>
      <c r="C102" s="9" t="s">
        <v>27</v>
      </c>
      <c r="D102" s="9" t="s">
        <v>10</v>
      </c>
      <c r="E102" s="9">
        <v>223</v>
      </c>
      <c r="F102" s="10">
        <v>940079</v>
      </c>
      <c r="G102" s="10">
        <v>1615513</v>
      </c>
    </row>
    <row r="103" spans="1:7">
      <c r="A103" s="19" t="s">
        <v>14</v>
      </c>
      <c r="B103" s="9" t="s">
        <v>26</v>
      </c>
      <c r="C103" s="9" t="s">
        <v>27</v>
      </c>
      <c r="D103" s="9" t="s">
        <v>11</v>
      </c>
      <c r="E103" s="9">
        <v>53</v>
      </c>
      <c r="F103" s="10">
        <v>419076</v>
      </c>
      <c r="G103" s="10">
        <v>484955</v>
      </c>
    </row>
    <row r="104" spans="1:7">
      <c r="A104" s="19" t="s">
        <v>14</v>
      </c>
      <c r="B104" s="9" t="s">
        <v>26</v>
      </c>
      <c r="C104" s="9" t="s">
        <v>27</v>
      </c>
      <c r="D104" s="9" t="s">
        <v>12</v>
      </c>
      <c r="E104" s="9">
        <v>236</v>
      </c>
      <c r="F104" s="10">
        <v>1101453</v>
      </c>
      <c r="G104" s="10">
        <v>1274632</v>
      </c>
    </row>
    <row r="105" spans="1:7">
      <c r="A105" s="19" t="s">
        <v>14</v>
      </c>
      <c r="B105" s="9" t="s">
        <v>26</v>
      </c>
      <c r="C105" s="9" t="s">
        <v>27</v>
      </c>
      <c r="D105" s="9" t="s">
        <v>13</v>
      </c>
      <c r="E105" s="9">
        <v>28</v>
      </c>
      <c r="F105" s="10">
        <v>218744</v>
      </c>
      <c r="G105" s="10">
        <v>387241</v>
      </c>
    </row>
    <row r="106" spans="1:7">
      <c r="A106" s="19" t="s">
        <v>15</v>
      </c>
      <c r="B106" s="9" t="s">
        <v>26</v>
      </c>
      <c r="C106" s="9" t="s">
        <v>27</v>
      </c>
      <c r="D106" s="9" t="s">
        <v>10</v>
      </c>
      <c r="E106" s="9">
        <v>200</v>
      </c>
      <c r="F106" s="10">
        <v>1383643</v>
      </c>
      <c r="G106" s="10">
        <v>2037788</v>
      </c>
    </row>
    <row r="107" spans="1:7">
      <c r="A107" s="19" t="s">
        <v>15</v>
      </c>
      <c r="B107" s="9" t="s">
        <v>26</v>
      </c>
      <c r="C107" s="9" t="s">
        <v>27</v>
      </c>
      <c r="D107" s="9" t="s">
        <v>11</v>
      </c>
      <c r="E107" s="9">
        <v>41</v>
      </c>
      <c r="F107" s="10">
        <v>343943</v>
      </c>
      <c r="G107" s="10">
        <v>392732</v>
      </c>
    </row>
    <row r="108" spans="1:7">
      <c r="A108" s="19" t="s">
        <v>15</v>
      </c>
      <c r="B108" s="9" t="s">
        <v>26</v>
      </c>
      <c r="C108" s="9" t="s">
        <v>27</v>
      </c>
      <c r="D108" s="9" t="s">
        <v>12</v>
      </c>
      <c r="E108" s="9">
        <v>137</v>
      </c>
      <c r="F108" s="10">
        <v>1145602</v>
      </c>
      <c r="G108" s="10">
        <v>1378585</v>
      </c>
    </row>
    <row r="109" spans="1:7">
      <c r="A109" s="19" t="s">
        <v>15</v>
      </c>
      <c r="B109" s="9" t="s">
        <v>26</v>
      </c>
      <c r="C109" s="9" t="s">
        <v>27</v>
      </c>
      <c r="D109" s="9" t="s">
        <v>13</v>
      </c>
      <c r="E109" s="9">
        <v>39</v>
      </c>
      <c r="F109" s="10">
        <v>211724</v>
      </c>
      <c r="G109" s="10">
        <v>263632</v>
      </c>
    </row>
    <row r="110" spans="1:7">
      <c r="A110" s="19" t="s">
        <v>16</v>
      </c>
      <c r="B110" s="9" t="s">
        <v>26</v>
      </c>
      <c r="C110" s="9" t="s">
        <v>27</v>
      </c>
      <c r="D110" s="9" t="s">
        <v>10</v>
      </c>
      <c r="E110" s="9">
        <v>210</v>
      </c>
      <c r="F110" s="10">
        <v>1740960</v>
      </c>
      <c r="G110" s="10">
        <v>2103142</v>
      </c>
    </row>
    <row r="111" spans="1:7">
      <c r="A111" s="19" t="s">
        <v>16</v>
      </c>
      <c r="B111" s="9" t="s">
        <v>26</v>
      </c>
      <c r="C111" s="9" t="s">
        <v>27</v>
      </c>
      <c r="D111" s="9" t="s">
        <v>11</v>
      </c>
      <c r="E111" s="9">
        <v>62</v>
      </c>
      <c r="F111" s="10">
        <v>492733</v>
      </c>
      <c r="G111" s="10">
        <v>786449</v>
      </c>
    </row>
    <row r="112" spans="1:7">
      <c r="A112" s="19" t="s">
        <v>16</v>
      </c>
      <c r="B112" s="9" t="s">
        <v>26</v>
      </c>
      <c r="C112" s="9" t="s">
        <v>27</v>
      </c>
      <c r="D112" s="9" t="s">
        <v>12</v>
      </c>
      <c r="E112" s="9">
        <v>62</v>
      </c>
      <c r="F112" s="10">
        <v>510128</v>
      </c>
      <c r="G112" s="10">
        <v>597286</v>
      </c>
    </row>
    <row r="113" spans="1:7">
      <c r="A113" s="19" t="s">
        <v>16</v>
      </c>
      <c r="B113" s="9" t="s">
        <v>26</v>
      </c>
      <c r="C113" s="9" t="s">
        <v>27</v>
      </c>
      <c r="D113" s="9" t="s">
        <v>13</v>
      </c>
      <c r="E113" s="9">
        <v>51</v>
      </c>
      <c r="F113" s="10">
        <v>310226</v>
      </c>
      <c r="G113" s="10">
        <v>372338</v>
      </c>
    </row>
    <row r="114" spans="1:7">
      <c r="A114" s="19" t="s">
        <v>17</v>
      </c>
      <c r="B114" s="9" t="s">
        <v>26</v>
      </c>
      <c r="C114" s="9" t="s">
        <v>27</v>
      </c>
      <c r="D114" s="9" t="s">
        <v>10</v>
      </c>
      <c r="E114" s="9">
        <v>213</v>
      </c>
      <c r="F114" s="10">
        <v>1012741</v>
      </c>
      <c r="G114" s="10">
        <v>1227267</v>
      </c>
    </row>
    <row r="115" spans="1:7">
      <c r="A115" s="19" t="s">
        <v>17</v>
      </c>
      <c r="B115" s="9" t="s">
        <v>26</v>
      </c>
      <c r="C115" s="9" t="s">
        <v>27</v>
      </c>
      <c r="D115" s="9" t="s">
        <v>11</v>
      </c>
      <c r="E115" s="9">
        <v>35</v>
      </c>
      <c r="F115" s="10">
        <v>188153</v>
      </c>
      <c r="G115" s="10">
        <v>314198</v>
      </c>
    </row>
    <row r="116" spans="1:7">
      <c r="A116" s="19" t="s">
        <v>17</v>
      </c>
      <c r="B116" s="9" t="s">
        <v>26</v>
      </c>
      <c r="C116" s="9" t="s">
        <v>27</v>
      </c>
      <c r="D116" s="9" t="s">
        <v>12</v>
      </c>
      <c r="E116" s="9">
        <v>225</v>
      </c>
      <c r="F116" s="10">
        <v>1136939</v>
      </c>
      <c r="G116" s="10">
        <v>1277917</v>
      </c>
    </row>
    <row r="117" spans="1:7">
      <c r="A117" s="19" t="s">
        <v>17</v>
      </c>
      <c r="B117" s="9" t="s">
        <v>26</v>
      </c>
      <c r="C117" s="9" t="s">
        <v>27</v>
      </c>
      <c r="D117" s="9" t="s">
        <v>13</v>
      </c>
      <c r="E117" s="9">
        <v>45</v>
      </c>
      <c r="F117" s="10">
        <v>407788</v>
      </c>
      <c r="G117" s="10">
        <v>602814</v>
      </c>
    </row>
    <row r="118" spans="1:7">
      <c r="A118" s="19" t="s">
        <v>18</v>
      </c>
      <c r="B118" s="9" t="s">
        <v>26</v>
      </c>
      <c r="C118" s="9" t="s">
        <v>27</v>
      </c>
      <c r="D118" s="9" t="s">
        <v>10</v>
      </c>
      <c r="E118" s="9">
        <v>329</v>
      </c>
      <c r="F118" s="10">
        <v>1363512</v>
      </c>
      <c r="G118" s="10">
        <v>1550702</v>
      </c>
    </row>
    <row r="119" spans="1:7">
      <c r="A119" s="19" t="s">
        <v>18</v>
      </c>
      <c r="B119" s="9" t="s">
        <v>26</v>
      </c>
      <c r="C119" s="9" t="s">
        <v>27</v>
      </c>
      <c r="D119" s="9" t="s">
        <v>11</v>
      </c>
      <c r="E119" s="9">
        <v>59</v>
      </c>
      <c r="F119" s="10">
        <v>523487</v>
      </c>
      <c r="G119" s="10">
        <v>882240</v>
      </c>
    </row>
    <row r="120" spans="1:7">
      <c r="A120" s="19" t="s">
        <v>18</v>
      </c>
      <c r="B120" s="9" t="s">
        <v>26</v>
      </c>
      <c r="C120" s="9" t="s">
        <v>27</v>
      </c>
      <c r="D120" s="9" t="s">
        <v>12</v>
      </c>
      <c r="E120" s="9">
        <v>71</v>
      </c>
      <c r="F120" s="10">
        <v>418958</v>
      </c>
      <c r="G120" s="10">
        <v>738919</v>
      </c>
    </row>
    <row r="121" spans="1:7">
      <c r="A121" s="19" t="s">
        <v>18</v>
      </c>
      <c r="B121" s="9" t="s">
        <v>26</v>
      </c>
      <c r="C121" s="9" t="s">
        <v>27</v>
      </c>
      <c r="D121" s="9" t="s">
        <v>13</v>
      </c>
      <c r="E121" s="9">
        <v>61</v>
      </c>
      <c r="F121" s="10">
        <v>419146</v>
      </c>
      <c r="G121" s="10">
        <v>650699</v>
      </c>
    </row>
    <row r="122" spans="1:7">
      <c r="A122" s="19" t="s">
        <v>19</v>
      </c>
      <c r="B122" s="9" t="s">
        <v>26</v>
      </c>
      <c r="C122" s="9" t="s">
        <v>27</v>
      </c>
      <c r="D122" s="9" t="s">
        <v>10</v>
      </c>
      <c r="E122" s="9">
        <v>152</v>
      </c>
      <c r="F122" s="10">
        <v>1017277</v>
      </c>
      <c r="G122" s="10">
        <v>1515992</v>
      </c>
    </row>
    <row r="123" spans="1:7">
      <c r="A123" s="19" t="s">
        <v>19</v>
      </c>
      <c r="B123" s="9" t="s">
        <v>26</v>
      </c>
      <c r="C123" s="9" t="s">
        <v>27</v>
      </c>
      <c r="D123" s="9" t="s">
        <v>11</v>
      </c>
      <c r="E123" s="9">
        <v>102</v>
      </c>
      <c r="F123" s="10">
        <v>358944</v>
      </c>
      <c r="G123" s="10">
        <v>452833</v>
      </c>
    </row>
    <row r="124" spans="1:7">
      <c r="A124" s="19" t="s">
        <v>19</v>
      </c>
      <c r="B124" s="9" t="s">
        <v>26</v>
      </c>
      <c r="C124" s="9" t="s">
        <v>27</v>
      </c>
      <c r="D124" s="9" t="s">
        <v>12</v>
      </c>
      <c r="E124" s="9">
        <v>130</v>
      </c>
      <c r="F124" s="10">
        <v>971286</v>
      </c>
      <c r="G124" s="10">
        <v>1333017</v>
      </c>
    </row>
    <row r="125" spans="1:7">
      <c r="A125" s="19" t="s">
        <v>19</v>
      </c>
      <c r="B125" s="9" t="s">
        <v>26</v>
      </c>
      <c r="C125" s="9" t="s">
        <v>27</v>
      </c>
      <c r="D125" s="9" t="s">
        <v>13</v>
      </c>
      <c r="E125" s="9">
        <v>93</v>
      </c>
      <c r="F125" s="10">
        <v>512191</v>
      </c>
      <c r="G125" s="10">
        <v>658072</v>
      </c>
    </row>
    <row r="126" spans="1:7">
      <c r="A126" s="19" t="s">
        <v>20</v>
      </c>
      <c r="B126" s="9" t="s">
        <v>26</v>
      </c>
      <c r="C126" s="9" t="s">
        <v>27</v>
      </c>
      <c r="D126" s="9" t="s">
        <v>10</v>
      </c>
      <c r="E126" s="9">
        <v>131</v>
      </c>
      <c r="F126" s="10">
        <v>696746</v>
      </c>
      <c r="G126" s="10">
        <v>897963</v>
      </c>
    </row>
    <row r="127" spans="1:7">
      <c r="A127" s="19" t="s">
        <v>20</v>
      </c>
      <c r="B127" s="9" t="s">
        <v>26</v>
      </c>
      <c r="C127" s="9" t="s">
        <v>27</v>
      </c>
      <c r="D127" s="9" t="s">
        <v>11</v>
      </c>
      <c r="E127" s="9">
        <v>55</v>
      </c>
      <c r="F127" s="10">
        <v>412654</v>
      </c>
      <c r="G127" s="10">
        <v>488349</v>
      </c>
    </row>
    <row r="128" spans="1:7">
      <c r="A128" s="19" t="s">
        <v>20</v>
      </c>
      <c r="B128" s="9" t="s">
        <v>26</v>
      </c>
      <c r="C128" s="9" t="s">
        <v>27</v>
      </c>
      <c r="D128" s="9" t="s">
        <v>12</v>
      </c>
      <c r="E128" s="9">
        <v>86</v>
      </c>
      <c r="F128" s="10">
        <v>494908</v>
      </c>
      <c r="G128" s="10">
        <v>770290</v>
      </c>
    </row>
    <row r="129" spans="1:7">
      <c r="A129" s="19" t="s">
        <v>20</v>
      </c>
      <c r="B129" s="9" t="s">
        <v>26</v>
      </c>
      <c r="C129" s="9" t="s">
        <v>27</v>
      </c>
      <c r="D129" s="9" t="s">
        <v>13</v>
      </c>
      <c r="E129" s="9">
        <v>71</v>
      </c>
      <c r="F129" s="10">
        <v>300407</v>
      </c>
      <c r="G129" s="10">
        <v>471320</v>
      </c>
    </row>
    <row r="130" spans="1:7">
      <c r="A130" s="19" t="s">
        <v>21</v>
      </c>
      <c r="B130" s="9" t="s">
        <v>26</v>
      </c>
      <c r="C130" s="9" t="s">
        <v>27</v>
      </c>
      <c r="D130" s="9" t="s">
        <v>10</v>
      </c>
      <c r="E130" s="9">
        <v>169</v>
      </c>
      <c r="F130" s="10">
        <v>1221587</v>
      </c>
      <c r="G130" s="10">
        <v>1388624</v>
      </c>
    </row>
    <row r="131" spans="1:7">
      <c r="A131" s="19" t="s">
        <v>21</v>
      </c>
      <c r="B131" s="9" t="s">
        <v>26</v>
      </c>
      <c r="C131" s="9" t="s">
        <v>27</v>
      </c>
      <c r="D131" s="9" t="s">
        <v>11</v>
      </c>
      <c r="E131" s="9">
        <v>123</v>
      </c>
      <c r="F131" s="10">
        <v>637662</v>
      </c>
      <c r="G131" s="10">
        <v>841683</v>
      </c>
    </row>
    <row r="132" spans="1:7">
      <c r="A132" s="19" t="s">
        <v>21</v>
      </c>
      <c r="B132" s="9" t="s">
        <v>26</v>
      </c>
      <c r="C132" s="9" t="s">
        <v>27</v>
      </c>
      <c r="D132" s="9" t="s">
        <v>12</v>
      </c>
      <c r="E132" s="9">
        <v>102</v>
      </c>
      <c r="F132" s="10">
        <v>522784</v>
      </c>
      <c r="G132" s="10">
        <v>993143</v>
      </c>
    </row>
    <row r="133" spans="1:7">
      <c r="A133" s="19" t="s">
        <v>21</v>
      </c>
      <c r="B133" s="9" t="s">
        <v>26</v>
      </c>
      <c r="C133" s="9" t="s">
        <v>27</v>
      </c>
      <c r="D133" s="9" t="s">
        <v>13</v>
      </c>
      <c r="E133" s="9">
        <v>50</v>
      </c>
      <c r="F133" s="10">
        <v>362031</v>
      </c>
      <c r="G133" s="10">
        <v>486438</v>
      </c>
    </row>
    <row r="134" spans="1:7">
      <c r="A134" s="19" t="s">
        <v>22</v>
      </c>
      <c r="B134" s="9" t="s">
        <v>26</v>
      </c>
      <c r="C134" s="9" t="s">
        <v>27</v>
      </c>
      <c r="D134" s="9" t="s">
        <v>10</v>
      </c>
      <c r="E134" s="9">
        <v>214</v>
      </c>
      <c r="F134" s="10">
        <v>1004722</v>
      </c>
      <c r="G134" s="10">
        <v>1450983</v>
      </c>
    </row>
    <row r="135" spans="1:7">
      <c r="A135" s="19" t="s">
        <v>22</v>
      </c>
      <c r="B135" s="9" t="s">
        <v>26</v>
      </c>
      <c r="C135" s="9" t="s">
        <v>27</v>
      </c>
      <c r="D135" s="9" t="s">
        <v>11</v>
      </c>
      <c r="E135" s="9">
        <v>64</v>
      </c>
      <c r="F135" s="10">
        <v>505072</v>
      </c>
      <c r="G135" s="10">
        <v>583911</v>
      </c>
    </row>
    <row r="136" spans="1:7">
      <c r="A136" s="19" t="s">
        <v>22</v>
      </c>
      <c r="B136" s="9" t="s">
        <v>26</v>
      </c>
      <c r="C136" s="9" t="s">
        <v>27</v>
      </c>
      <c r="D136" s="9" t="s">
        <v>12</v>
      </c>
      <c r="E136" s="9">
        <v>57</v>
      </c>
      <c r="F136" s="10">
        <v>364293</v>
      </c>
      <c r="G136" s="10">
        <v>652722</v>
      </c>
    </row>
    <row r="137" spans="1:7">
      <c r="A137" s="19" t="s">
        <v>22</v>
      </c>
      <c r="B137" s="9" t="s">
        <v>26</v>
      </c>
      <c r="C137" s="9" t="s">
        <v>27</v>
      </c>
      <c r="D137" s="9" t="s">
        <v>13</v>
      </c>
      <c r="E137" s="9">
        <v>48</v>
      </c>
      <c r="F137" s="10">
        <v>390112</v>
      </c>
      <c r="G137" s="10">
        <v>598117</v>
      </c>
    </row>
    <row r="138" spans="1:7">
      <c r="A138" s="19" t="s">
        <v>23</v>
      </c>
      <c r="B138" s="9" t="s">
        <v>26</v>
      </c>
      <c r="C138" s="9" t="s">
        <v>27</v>
      </c>
      <c r="D138" s="9" t="s">
        <v>10</v>
      </c>
      <c r="E138" s="9">
        <v>411</v>
      </c>
      <c r="F138" s="10">
        <v>1947567</v>
      </c>
      <c r="G138" s="10">
        <v>1851593</v>
      </c>
    </row>
    <row r="139" spans="1:7">
      <c r="A139" s="19" t="s">
        <v>23</v>
      </c>
      <c r="B139" s="9" t="s">
        <v>26</v>
      </c>
      <c r="C139" s="9" t="s">
        <v>27</v>
      </c>
      <c r="D139" s="9" t="s">
        <v>11</v>
      </c>
      <c r="E139" s="9">
        <v>62</v>
      </c>
      <c r="F139" s="10">
        <v>303206</v>
      </c>
      <c r="G139" s="10">
        <v>419477</v>
      </c>
    </row>
    <row r="140" spans="1:7">
      <c r="A140" s="19" t="s">
        <v>23</v>
      </c>
      <c r="B140" s="9" t="s">
        <v>26</v>
      </c>
      <c r="C140" s="9" t="s">
        <v>27</v>
      </c>
      <c r="D140" s="9" t="s">
        <v>12</v>
      </c>
      <c r="E140" s="9">
        <v>271</v>
      </c>
      <c r="F140" s="10">
        <v>1058993</v>
      </c>
      <c r="G140" s="10">
        <v>927622</v>
      </c>
    </row>
    <row r="141" spans="1:7">
      <c r="A141" s="19" t="s">
        <v>23</v>
      </c>
      <c r="B141" s="9" t="s">
        <v>26</v>
      </c>
      <c r="C141" s="9" t="s">
        <v>27</v>
      </c>
      <c r="D141" s="9" t="s">
        <v>13</v>
      </c>
      <c r="E141" s="9">
        <v>107</v>
      </c>
      <c r="F141" s="10">
        <v>492279</v>
      </c>
      <c r="G141" s="10">
        <v>477942</v>
      </c>
    </row>
    <row r="142" spans="1:7">
      <c r="A142" s="19" t="s">
        <v>24</v>
      </c>
      <c r="B142" s="9" t="s">
        <v>26</v>
      </c>
      <c r="C142" s="9" t="s">
        <v>27</v>
      </c>
      <c r="D142" s="9" t="s">
        <v>10</v>
      </c>
      <c r="E142" s="9">
        <v>352</v>
      </c>
      <c r="F142" s="10">
        <v>1706198</v>
      </c>
      <c r="G142" s="10">
        <v>1774895</v>
      </c>
    </row>
    <row r="143" spans="1:7">
      <c r="A143" s="19" t="s">
        <v>24</v>
      </c>
      <c r="B143" s="9" t="s">
        <v>26</v>
      </c>
      <c r="C143" s="9" t="s">
        <v>27</v>
      </c>
      <c r="D143" s="9" t="s">
        <v>11</v>
      </c>
      <c r="E143" s="9">
        <v>64</v>
      </c>
      <c r="F143" s="10">
        <v>494726</v>
      </c>
      <c r="G143" s="10">
        <v>693634</v>
      </c>
    </row>
    <row r="144" spans="1:7">
      <c r="A144" s="19" t="s">
        <v>24</v>
      </c>
      <c r="B144" s="9" t="s">
        <v>26</v>
      </c>
      <c r="C144" s="9" t="s">
        <v>27</v>
      </c>
      <c r="D144" s="9" t="s">
        <v>12</v>
      </c>
      <c r="E144" s="9">
        <v>156</v>
      </c>
      <c r="F144" s="10">
        <v>912095</v>
      </c>
      <c r="G144" s="10">
        <v>1193041</v>
      </c>
    </row>
    <row r="145" spans="1:7">
      <c r="A145" s="19" t="s">
        <v>24</v>
      </c>
      <c r="B145" s="9" t="s">
        <v>26</v>
      </c>
      <c r="C145" s="9" t="s">
        <v>27</v>
      </c>
      <c r="D145" s="9" t="s">
        <v>13</v>
      </c>
      <c r="E145" s="9">
        <v>65</v>
      </c>
      <c r="F145" s="10">
        <v>414885</v>
      </c>
      <c r="G145" s="10">
        <v>346737</v>
      </c>
    </row>
    <row r="146" spans="1:7">
      <c r="A146" s="19" t="s">
        <v>7</v>
      </c>
      <c r="B146" s="9" t="s">
        <v>28</v>
      </c>
      <c r="C146" s="9" t="s">
        <v>29</v>
      </c>
      <c r="D146" s="9" t="s">
        <v>10</v>
      </c>
      <c r="E146" s="9">
        <v>166</v>
      </c>
      <c r="F146" s="10">
        <v>1001077</v>
      </c>
      <c r="G146" s="10">
        <v>1148877</v>
      </c>
    </row>
    <row r="147" spans="1:7">
      <c r="A147" s="19" t="s">
        <v>7</v>
      </c>
      <c r="B147" s="9" t="s">
        <v>28</v>
      </c>
      <c r="C147" s="9" t="s">
        <v>29</v>
      </c>
      <c r="D147" s="9" t="s">
        <v>11</v>
      </c>
      <c r="E147" s="9">
        <v>70</v>
      </c>
      <c r="F147" s="10">
        <v>625693</v>
      </c>
      <c r="G147" s="10">
        <v>780849</v>
      </c>
    </row>
    <row r="148" spans="1:7">
      <c r="A148" s="19" t="s">
        <v>7</v>
      </c>
      <c r="B148" s="9" t="s">
        <v>28</v>
      </c>
      <c r="C148" s="9" t="s">
        <v>29</v>
      </c>
      <c r="D148" s="9" t="s">
        <v>12</v>
      </c>
      <c r="E148" s="9">
        <v>112</v>
      </c>
      <c r="F148" s="10">
        <v>943471</v>
      </c>
      <c r="G148" s="10">
        <v>1035907</v>
      </c>
    </row>
    <row r="149" spans="1:7">
      <c r="A149" s="19" t="s">
        <v>7</v>
      </c>
      <c r="B149" s="9" t="s">
        <v>28</v>
      </c>
      <c r="C149" s="9" t="s">
        <v>29</v>
      </c>
      <c r="D149" s="9" t="s">
        <v>13</v>
      </c>
      <c r="E149" s="9">
        <v>76</v>
      </c>
      <c r="F149" s="10">
        <v>482088</v>
      </c>
      <c r="G149" s="10">
        <v>586958</v>
      </c>
    </row>
    <row r="150" spans="1:7">
      <c r="A150" s="19" t="s">
        <v>14</v>
      </c>
      <c r="B150" s="9" t="s">
        <v>28</v>
      </c>
      <c r="C150" s="9" t="s">
        <v>29</v>
      </c>
      <c r="D150" s="9" t="s">
        <v>10</v>
      </c>
      <c r="E150" s="9">
        <v>175</v>
      </c>
      <c r="F150" s="10">
        <v>1481727</v>
      </c>
      <c r="G150" s="10">
        <v>1962796</v>
      </c>
    </row>
    <row r="151" spans="1:7">
      <c r="A151" s="19" t="s">
        <v>14</v>
      </c>
      <c r="B151" s="9" t="s">
        <v>28</v>
      </c>
      <c r="C151" s="9" t="s">
        <v>29</v>
      </c>
      <c r="D151" s="9" t="s">
        <v>11</v>
      </c>
      <c r="E151" s="9">
        <v>110</v>
      </c>
      <c r="F151" s="10">
        <v>542138</v>
      </c>
      <c r="G151" s="10">
        <v>746193</v>
      </c>
    </row>
    <row r="152" spans="1:7">
      <c r="A152" s="19" t="s">
        <v>14</v>
      </c>
      <c r="B152" s="9" t="s">
        <v>28</v>
      </c>
      <c r="C152" s="9" t="s">
        <v>29</v>
      </c>
      <c r="D152" s="9" t="s">
        <v>12</v>
      </c>
      <c r="E152" s="9">
        <v>73</v>
      </c>
      <c r="F152" s="10">
        <v>570573</v>
      </c>
      <c r="G152" s="10">
        <v>722515</v>
      </c>
    </row>
    <row r="153" spans="1:7">
      <c r="A153" s="19" t="s">
        <v>14</v>
      </c>
      <c r="B153" s="9" t="s">
        <v>28</v>
      </c>
      <c r="C153" s="9" t="s">
        <v>29</v>
      </c>
      <c r="D153" s="9" t="s">
        <v>13</v>
      </c>
      <c r="E153" s="9">
        <v>84</v>
      </c>
      <c r="F153" s="10">
        <v>421575</v>
      </c>
      <c r="G153" s="10">
        <v>536714</v>
      </c>
    </row>
    <row r="154" spans="1:7">
      <c r="A154" s="19" t="s">
        <v>15</v>
      </c>
      <c r="B154" s="9" t="s">
        <v>28</v>
      </c>
      <c r="C154" s="9" t="s">
        <v>29</v>
      </c>
      <c r="D154" s="9" t="s">
        <v>10</v>
      </c>
      <c r="E154" s="9">
        <v>118</v>
      </c>
      <c r="F154" s="10">
        <v>593517</v>
      </c>
      <c r="G154" s="10">
        <v>908476</v>
      </c>
    </row>
    <row r="155" spans="1:7">
      <c r="A155" s="19" t="s">
        <v>15</v>
      </c>
      <c r="B155" s="9" t="s">
        <v>28</v>
      </c>
      <c r="C155" s="9" t="s">
        <v>29</v>
      </c>
      <c r="D155" s="9" t="s">
        <v>11</v>
      </c>
      <c r="E155" s="9">
        <v>86</v>
      </c>
      <c r="F155" s="10">
        <v>369810</v>
      </c>
      <c r="G155" s="10">
        <v>491825</v>
      </c>
    </row>
    <row r="156" spans="1:7">
      <c r="A156" s="19" t="s">
        <v>15</v>
      </c>
      <c r="B156" s="9" t="s">
        <v>28</v>
      </c>
      <c r="C156" s="9" t="s">
        <v>29</v>
      </c>
      <c r="D156" s="9" t="s">
        <v>12</v>
      </c>
      <c r="E156" s="9">
        <v>77</v>
      </c>
      <c r="F156" s="10">
        <v>574665</v>
      </c>
      <c r="G156" s="10">
        <v>708135</v>
      </c>
    </row>
    <row r="157" spans="1:7">
      <c r="A157" s="19" t="s">
        <v>15</v>
      </c>
      <c r="B157" s="9" t="s">
        <v>28</v>
      </c>
      <c r="C157" s="9" t="s">
        <v>29</v>
      </c>
      <c r="D157" s="9" t="s">
        <v>13</v>
      </c>
      <c r="E157" s="9">
        <v>30</v>
      </c>
      <c r="F157" s="10">
        <v>199882</v>
      </c>
      <c r="G157" s="10">
        <v>285325</v>
      </c>
    </row>
    <row r="158" spans="1:7">
      <c r="A158" s="19" t="s">
        <v>16</v>
      </c>
      <c r="B158" s="9" t="s">
        <v>28</v>
      </c>
      <c r="C158" s="9" t="s">
        <v>29</v>
      </c>
      <c r="D158" s="9" t="s">
        <v>10</v>
      </c>
      <c r="E158" s="9">
        <v>148</v>
      </c>
      <c r="F158" s="10">
        <v>860672</v>
      </c>
      <c r="G158" s="10">
        <v>1382083</v>
      </c>
    </row>
    <row r="159" spans="1:7">
      <c r="A159" s="19" t="s">
        <v>16</v>
      </c>
      <c r="B159" s="9" t="s">
        <v>28</v>
      </c>
      <c r="C159" s="9" t="s">
        <v>29</v>
      </c>
      <c r="D159" s="9" t="s">
        <v>11</v>
      </c>
      <c r="E159" s="9">
        <v>88</v>
      </c>
      <c r="F159" s="10">
        <v>648141</v>
      </c>
      <c r="G159" s="10">
        <v>842903</v>
      </c>
    </row>
    <row r="160" spans="1:7">
      <c r="A160" s="19" t="s">
        <v>16</v>
      </c>
      <c r="B160" s="9" t="s">
        <v>28</v>
      </c>
      <c r="C160" s="9" t="s">
        <v>29</v>
      </c>
      <c r="D160" s="9" t="s">
        <v>12</v>
      </c>
      <c r="E160" s="9">
        <v>190</v>
      </c>
      <c r="F160" s="10">
        <v>1066781</v>
      </c>
      <c r="G160" s="10">
        <v>1271058</v>
      </c>
    </row>
    <row r="161" spans="1:7">
      <c r="A161" s="19" t="s">
        <v>16</v>
      </c>
      <c r="B161" s="9" t="s">
        <v>28</v>
      </c>
      <c r="C161" s="9" t="s">
        <v>29</v>
      </c>
      <c r="D161" s="9" t="s">
        <v>13</v>
      </c>
      <c r="E161" s="9">
        <v>22</v>
      </c>
      <c r="F161" s="10">
        <v>171926</v>
      </c>
      <c r="G161" s="10">
        <v>253242</v>
      </c>
    </row>
    <row r="162" spans="1:7">
      <c r="A162" s="19" t="s">
        <v>17</v>
      </c>
      <c r="B162" s="9" t="s">
        <v>28</v>
      </c>
      <c r="C162" s="9" t="s">
        <v>29</v>
      </c>
      <c r="D162" s="9" t="s">
        <v>10</v>
      </c>
      <c r="E162" s="9">
        <v>313</v>
      </c>
      <c r="F162" s="10">
        <v>1819447</v>
      </c>
      <c r="G162" s="10">
        <v>1994827</v>
      </c>
    </row>
    <row r="163" spans="1:7">
      <c r="A163" s="19" t="s">
        <v>17</v>
      </c>
      <c r="B163" s="9" t="s">
        <v>28</v>
      </c>
      <c r="C163" s="9" t="s">
        <v>29</v>
      </c>
      <c r="D163" s="9" t="s">
        <v>11</v>
      </c>
      <c r="E163" s="9">
        <v>82</v>
      </c>
      <c r="F163" s="10">
        <v>564549</v>
      </c>
      <c r="G163" s="10">
        <v>748509</v>
      </c>
    </row>
    <row r="164" spans="1:7">
      <c r="A164" s="19" t="s">
        <v>17</v>
      </c>
      <c r="B164" s="9" t="s">
        <v>28</v>
      </c>
      <c r="C164" s="9" t="s">
        <v>29</v>
      </c>
      <c r="D164" s="9" t="s">
        <v>12</v>
      </c>
      <c r="E164" s="9">
        <v>74</v>
      </c>
      <c r="F164" s="10">
        <v>438378</v>
      </c>
      <c r="G164" s="10">
        <v>698484</v>
      </c>
    </row>
    <row r="165" spans="1:7">
      <c r="A165" s="19" t="s">
        <v>17</v>
      </c>
      <c r="B165" s="9" t="s">
        <v>28</v>
      </c>
      <c r="C165" s="9" t="s">
        <v>29</v>
      </c>
      <c r="D165" s="9" t="s">
        <v>13</v>
      </c>
      <c r="E165" s="9">
        <v>24</v>
      </c>
      <c r="F165" s="10">
        <v>178951</v>
      </c>
      <c r="G165" s="10">
        <v>265963</v>
      </c>
    </row>
    <row r="166" spans="1:7">
      <c r="A166" s="19" t="s">
        <v>18</v>
      </c>
      <c r="B166" s="9" t="s">
        <v>28</v>
      </c>
      <c r="C166" s="9" t="s">
        <v>29</v>
      </c>
      <c r="D166" s="9" t="s">
        <v>10</v>
      </c>
      <c r="E166" s="9">
        <v>136</v>
      </c>
      <c r="F166" s="10">
        <v>828560</v>
      </c>
      <c r="G166" s="10">
        <v>1366043</v>
      </c>
    </row>
    <row r="167" spans="1:7">
      <c r="A167" s="19" t="s">
        <v>18</v>
      </c>
      <c r="B167" s="9" t="s">
        <v>28</v>
      </c>
      <c r="C167" s="9" t="s">
        <v>29</v>
      </c>
      <c r="D167" s="9" t="s">
        <v>11</v>
      </c>
      <c r="E167" s="9">
        <v>80</v>
      </c>
      <c r="F167" s="10">
        <v>295135</v>
      </c>
      <c r="G167" s="10">
        <v>376576</v>
      </c>
    </row>
    <row r="168" spans="1:7">
      <c r="A168" s="19" t="s">
        <v>18</v>
      </c>
      <c r="B168" s="9" t="s">
        <v>28</v>
      </c>
      <c r="C168" s="9" t="s">
        <v>29</v>
      </c>
      <c r="D168" s="9" t="s">
        <v>12</v>
      </c>
      <c r="E168" s="9">
        <v>178</v>
      </c>
      <c r="F168" s="10">
        <v>650628</v>
      </c>
      <c r="G168" s="10">
        <v>854618</v>
      </c>
    </row>
    <row r="169" spans="1:7">
      <c r="A169" s="19" t="s">
        <v>18</v>
      </c>
      <c r="B169" s="9" t="s">
        <v>28</v>
      </c>
      <c r="C169" s="9" t="s">
        <v>29</v>
      </c>
      <c r="D169" s="9" t="s">
        <v>13</v>
      </c>
      <c r="E169" s="9">
        <v>59</v>
      </c>
      <c r="F169" s="10">
        <v>359190</v>
      </c>
      <c r="G169" s="10">
        <v>603512</v>
      </c>
    </row>
    <row r="170" spans="1:7">
      <c r="A170" s="19" t="s">
        <v>19</v>
      </c>
      <c r="B170" s="9" t="s">
        <v>28</v>
      </c>
      <c r="C170" s="9" t="s">
        <v>29</v>
      </c>
      <c r="D170" s="9" t="s">
        <v>10</v>
      </c>
      <c r="E170" s="9">
        <v>128</v>
      </c>
      <c r="F170" s="10">
        <v>600139</v>
      </c>
      <c r="G170" s="10">
        <v>870398</v>
      </c>
    </row>
    <row r="171" spans="1:7">
      <c r="A171" s="19" t="s">
        <v>19</v>
      </c>
      <c r="B171" s="9" t="s">
        <v>28</v>
      </c>
      <c r="C171" s="9" t="s">
        <v>29</v>
      </c>
      <c r="D171" s="9" t="s">
        <v>11</v>
      </c>
      <c r="E171" s="9">
        <v>74</v>
      </c>
      <c r="F171" s="10">
        <v>415536</v>
      </c>
      <c r="G171" s="10">
        <v>496107</v>
      </c>
    </row>
    <row r="172" spans="1:7">
      <c r="A172" s="19" t="s">
        <v>19</v>
      </c>
      <c r="B172" s="9" t="s">
        <v>28</v>
      </c>
      <c r="C172" s="9" t="s">
        <v>29</v>
      </c>
      <c r="D172" s="9" t="s">
        <v>12</v>
      </c>
      <c r="E172" s="9">
        <v>208</v>
      </c>
      <c r="F172" s="10">
        <v>1017930</v>
      </c>
      <c r="G172" s="10">
        <v>1176808</v>
      </c>
    </row>
    <row r="173" spans="1:7">
      <c r="A173" s="19" t="s">
        <v>19</v>
      </c>
      <c r="B173" s="9" t="s">
        <v>28</v>
      </c>
      <c r="C173" s="9" t="s">
        <v>29</v>
      </c>
      <c r="D173" s="9" t="s">
        <v>13</v>
      </c>
      <c r="E173" s="9">
        <v>25</v>
      </c>
      <c r="F173" s="10">
        <v>162302</v>
      </c>
      <c r="G173" s="10">
        <v>295048</v>
      </c>
    </row>
    <row r="174" spans="1:7">
      <c r="A174" s="19" t="s">
        <v>20</v>
      </c>
      <c r="B174" s="9" t="s">
        <v>28</v>
      </c>
      <c r="C174" s="9" t="s">
        <v>29</v>
      </c>
      <c r="D174" s="9" t="s">
        <v>10</v>
      </c>
      <c r="E174" s="9">
        <v>210</v>
      </c>
      <c r="F174" s="10">
        <v>1491963</v>
      </c>
      <c r="G174" s="10">
        <v>2199870</v>
      </c>
    </row>
    <row r="175" spans="1:7">
      <c r="A175" s="19" t="s">
        <v>20</v>
      </c>
      <c r="B175" s="9" t="s">
        <v>28</v>
      </c>
      <c r="C175" s="9" t="s">
        <v>29</v>
      </c>
      <c r="D175" s="9" t="s">
        <v>11</v>
      </c>
      <c r="E175" s="9">
        <v>79</v>
      </c>
      <c r="F175" s="10">
        <v>611275</v>
      </c>
      <c r="G175" s="10">
        <v>768739</v>
      </c>
    </row>
    <row r="176" spans="1:7">
      <c r="A176" s="19" t="s">
        <v>20</v>
      </c>
      <c r="B176" s="9" t="s">
        <v>28</v>
      </c>
      <c r="C176" s="9" t="s">
        <v>29</v>
      </c>
      <c r="D176" s="9" t="s">
        <v>12</v>
      </c>
      <c r="E176" s="9">
        <v>232</v>
      </c>
      <c r="F176" s="10">
        <v>839665</v>
      </c>
      <c r="G176" s="10">
        <v>1354650</v>
      </c>
    </row>
    <row r="177" spans="1:7">
      <c r="A177" s="19" t="s">
        <v>20</v>
      </c>
      <c r="B177" s="9" t="s">
        <v>28</v>
      </c>
      <c r="C177" s="9" t="s">
        <v>29</v>
      </c>
      <c r="D177" s="9" t="s">
        <v>13</v>
      </c>
      <c r="E177" s="9">
        <v>27</v>
      </c>
      <c r="F177" s="10">
        <v>197446</v>
      </c>
      <c r="G177" s="10">
        <v>333810</v>
      </c>
    </row>
    <row r="178" spans="1:7">
      <c r="A178" s="19" t="s">
        <v>21</v>
      </c>
      <c r="B178" s="9" t="s">
        <v>28</v>
      </c>
      <c r="C178" s="9" t="s">
        <v>29</v>
      </c>
      <c r="D178" s="9" t="s">
        <v>10</v>
      </c>
      <c r="E178" s="9">
        <v>135</v>
      </c>
      <c r="F178" s="10">
        <v>996731</v>
      </c>
      <c r="G178" s="10">
        <v>1589557</v>
      </c>
    </row>
    <row r="179" spans="1:7">
      <c r="A179" s="19" t="s">
        <v>21</v>
      </c>
      <c r="B179" s="9" t="s">
        <v>28</v>
      </c>
      <c r="C179" s="9" t="s">
        <v>29</v>
      </c>
      <c r="D179" s="9" t="s">
        <v>11</v>
      </c>
      <c r="E179" s="9">
        <v>67</v>
      </c>
      <c r="F179" s="10">
        <v>461862</v>
      </c>
      <c r="G179" s="10">
        <v>760138</v>
      </c>
    </row>
    <row r="180" spans="1:7">
      <c r="A180" s="19" t="s">
        <v>21</v>
      </c>
      <c r="B180" s="9" t="s">
        <v>28</v>
      </c>
      <c r="C180" s="9" t="s">
        <v>29</v>
      </c>
      <c r="D180" s="9" t="s">
        <v>12</v>
      </c>
      <c r="E180" s="9">
        <v>86</v>
      </c>
      <c r="F180" s="10">
        <v>688587</v>
      </c>
      <c r="G180" s="10">
        <v>1173133</v>
      </c>
    </row>
    <row r="181" spans="1:7">
      <c r="A181" s="19" t="s">
        <v>21</v>
      </c>
      <c r="B181" s="9" t="s">
        <v>28</v>
      </c>
      <c r="C181" s="9" t="s">
        <v>29</v>
      </c>
      <c r="D181" s="9" t="s">
        <v>13</v>
      </c>
      <c r="E181" s="9">
        <v>125</v>
      </c>
      <c r="F181" s="10">
        <v>456235</v>
      </c>
      <c r="G181" s="10">
        <v>780596</v>
      </c>
    </row>
    <row r="182" spans="1:7">
      <c r="A182" s="19" t="s">
        <v>22</v>
      </c>
      <c r="B182" s="9" t="s">
        <v>28</v>
      </c>
      <c r="C182" s="9" t="s">
        <v>29</v>
      </c>
      <c r="D182" s="9" t="s">
        <v>10</v>
      </c>
      <c r="E182" s="9">
        <v>113</v>
      </c>
      <c r="F182" s="10">
        <v>995681</v>
      </c>
      <c r="G182" s="10">
        <v>1236740</v>
      </c>
    </row>
    <row r="183" spans="1:7">
      <c r="A183" s="19" t="s">
        <v>22</v>
      </c>
      <c r="B183" s="9" t="s">
        <v>28</v>
      </c>
      <c r="C183" s="9" t="s">
        <v>29</v>
      </c>
      <c r="D183" s="9" t="s">
        <v>11</v>
      </c>
      <c r="E183" s="9">
        <v>112</v>
      </c>
      <c r="F183" s="10">
        <v>440983</v>
      </c>
      <c r="G183" s="10">
        <v>537992</v>
      </c>
    </row>
    <row r="184" spans="1:7">
      <c r="A184" s="19" t="s">
        <v>22</v>
      </c>
      <c r="B184" s="9" t="s">
        <v>28</v>
      </c>
      <c r="C184" s="9" t="s">
        <v>29</v>
      </c>
      <c r="D184" s="9" t="s">
        <v>12</v>
      </c>
      <c r="E184" s="9">
        <v>217</v>
      </c>
      <c r="F184" s="10">
        <v>881166</v>
      </c>
      <c r="G184" s="10">
        <v>1121552</v>
      </c>
    </row>
    <row r="185" spans="1:7">
      <c r="A185" s="19" t="s">
        <v>22</v>
      </c>
      <c r="B185" s="9" t="s">
        <v>28</v>
      </c>
      <c r="C185" s="9" t="s">
        <v>29</v>
      </c>
      <c r="D185" s="9" t="s">
        <v>13</v>
      </c>
      <c r="E185" s="9">
        <v>86</v>
      </c>
      <c r="F185" s="10">
        <v>588556</v>
      </c>
      <c r="G185" s="10">
        <v>674864</v>
      </c>
    </row>
    <row r="186" spans="1:7">
      <c r="A186" s="19" t="s">
        <v>23</v>
      </c>
      <c r="B186" s="9" t="s">
        <v>28</v>
      </c>
      <c r="C186" s="9" t="s">
        <v>29</v>
      </c>
      <c r="D186" s="9" t="s">
        <v>10</v>
      </c>
      <c r="E186" s="9">
        <v>154</v>
      </c>
      <c r="F186" s="10">
        <v>1209155</v>
      </c>
      <c r="G186" s="10">
        <v>969477</v>
      </c>
    </row>
    <row r="187" spans="1:7">
      <c r="A187" s="19" t="s">
        <v>23</v>
      </c>
      <c r="B187" s="9" t="s">
        <v>28</v>
      </c>
      <c r="C187" s="9" t="s">
        <v>29</v>
      </c>
      <c r="D187" s="9" t="s">
        <v>11</v>
      </c>
      <c r="E187" s="9">
        <v>87</v>
      </c>
      <c r="F187" s="10">
        <v>486263</v>
      </c>
      <c r="G187" s="10">
        <v>508322</v>
      </c>
    </row>
    <row r="188" spans="1:7">
      <c r="A188" s="19" t="s">
        <v>23</v>
      </c>
      <c r="B188" s="9" t="s">
        <v>28</v>
      </c>
      <c r="C188" s="9" t="s">
        <v>29</v>
      </c>
      <c r="D188" s="9" t="s">
        <v>12</v>
      </c>
      <c r="E188" s="9">
        <v>106</v>
      </c>
      <c r="F188" s="10">
        <v>870346</v>
      </c>
      <c r="G188" s="10">
        <v>955364</v>
      </c>
    </row>
    <row r="189" spans="1:7">
      <c r="A189" s="19" t="s">
        <v>23</v>
      </c>
      <c r="B189" s="9" t="s">
        <v>28</v>
      </c>
      <c r="C189" s="9" t="s">
        <v>29</v>
      </c>
      <c r="D189" s="9" t="s">
        <v>13</v>
      </c>
      <c r="E189" s="9">
        <v>62</v>
      </c>
      <c r="F189" s="10">
        <v>553184</v>
      </c>
      <c r="G189" s="10">
        <v>702282</v>
      </c>
    </row>
    <row r="190" spans="1:7">
      <c r="A190" s="19" t="s">
        <v>24</v>
      </c>
      <c r="B190" s="9" t="s">
        <v>28</v>
      </c>
      <c r="C190" s="9" t="s">
        <v>29</v>
      </c>
      <c r="D190" s="9" t="s">
        <v>10</v>
      </c>
      <c r="E190" s="9">
        <v>266</v>
      </c>
      <c r="F190" s="10">
        <v>1970424</v>
      </c>
      <c r="G190" s="10">
        <v>1689819</v>
      </c>
    </row>
    <row r="191" spans="1:7">
      <c r="A191" s="19" t="s">
        <v>24</v>
      </c>
      <c r="B191" s="9" t="s">
        <v>28</v>
      </c>
      <c r="C191" s="9" t="s">
        <v>29</v>
      </c>
      <c r="D191" s="9" t="s">
        <v>11</v>
      </c>
      <c r="E191" s="9">
        <v>71</v>
      </c>
      <c r="F191" s="10">
        <v>626625</v>
      </c>
      <c r="G191" s="10">
        <v>561292</v>
      </c>
    </row>
    <row r="192" spans="1:7">
      <c r="A192" s="19" t="s">
        <v>24</v>
      </c>
      <c r="B192" s="9" t="s">
        <v>28</v>
      </c>
      <c r="C192" s="9" t="s">
        <v>29</v>
      </c>
      <c r="D192" s="9" t="s">
        <v>12</v>
      </c>
      <c r="E192" s="9">
        <v>132</v>
      </c>
      <c r="F192" s="10">
        <v>858493</v>
      </c>
      <c r="G192" s="10">
        <v>743074</v>
      </c>
    </row>
    <row r="193" spans="1:7">
      <c r="A193" s="19" t="s">
        <v>24</v>
      </c>
      <c r="B193" s="9" t="s">
        <v>28</v>
      </c>
      <c r="C193" s="9" t="s">
        <v>29</v>
      </c>
      <c r="D193" s="9" t="s">
        <v>13</v>
      </c>
      <c r="E193" s="9">
        <v>65</v>
      </c>
      <c r="F193" s="10">
        <v>495477</v>
      </c>
      <c r="G193" s="10">
        <v>515923</v>
      </c>
    </row>
    <row r="194" spans="1:7">
      <c r="A194" s="19" t="s">
        <v>7</v>
      </c>
      <c r="B194" s="9" t="s">
        <v>30</v>
      </c>
      <c r="C194" s="9" t="s">
        <v>31</v>
      </c>
      <c r="D194" s="9" t="s">
        <v>10</v>
      </c>
      <c r="E194" s="9">
        <v>494</v>
      </c>
      <c r="F194" s="10">
        <v>1964910</v>
      </c>
      <c r="G194" s="10">
        <v>1992398</v>
      </c>
    </row>
    <row r="195" spans="1:7">
      <c r="A195" s="19" t="s">
        <v>7</v>
      </c>
      <c r="B195" s="9" t="s">
        <v>30</v>
      </c>
      <c r="C195" s="9" t="s">
        <v>31</v>
      </c>
      <c r="D195" s="9" t="s">
        <v>11</v>
      </c>
      <c r="E195" s="9">
        <v>99</v>
      </c>
      <c r="F195" s="10">
        <v>602459</v>
      </c>
      <c r="G195" s="10">
        <v>828978</v>
      </c>
    </row>
    <row r="196" spans="1:7">
      <c r="A196" s="19" t="s">
        <v>7</v>
      </c>
      <c r="B196" s="9" t="s">
        <v>30</v>
      </c>
      <c r="C196" s="9" t="s">
        <v>31</v>
      </c>
      <c r="D196" s="9" t="s">
        <v>12</v>
      </c>
      <c r="E196" s="9">
        <v>225</v>
      </c>
      <c r="F196" s="10">
        <v>825261</v>
      </c>
      <c r="G196" s="10">
        <v>1049298</v>
      </c>
    </row>
    <row r="197" spans="1:7">
      <c r="A197" s="19" t="s">
        <v>7</v>
      </c>
      <c r="B197" s="9" t="s">
        <v>30</v>
      </c>
      <c r="C197" s="9" t="s">
        <v>31</v>
      </c>
      <c r="D197" s="9" t="s">
        <v>13</v>
      </c>
      <c r="E197" s="9">
        <v>107</v>
      </c>
      <c r="F197" s="10">
        <v>502135</v>
      </c>
      <c r="G197" s="10">
        <v>718024</v>
      </c>
    </row>
    <row r="198" spans="1:7">
      <c r="A198" s="19" t="s">
        <v>14</v>
      </c>
      <c r="B198" s="9" t="s">
        <v>30</v>
      </c>
      <c r="C198" s="9" t="s">
        <v>31</v>
      </c>
      <c r="D198" s="9" t="s">
        <v>10</v>
      </c>
      <c r="E198" s="9">
        <v>176</v>
      </c>
      <c r="F198" s="10">
        <v>1474916</v>
      </c>
      <c r="G198" s="10">
        <v>1916965</v>
      </c>
    </row>
    <row r="199" spans="1:7">
      <c r="A199" s="19" t="s">
        <v>14</v>
      </c>
      <c r="B199" s="9" t="s">
        <v>30</v>
      </c>
      <c r="C199" s="9" t="s">
        <v>31</v>
      </c>
      <c r="D199" s="9" t="s">
        <v>11</v>
      </c>
      <c r="E199" s="9">
        <v>150</v>
      </c>
      <c r="F199" s="10">
        <v>534101</v>
      </c>
      <c r="G199" s="10">
        <v>720710</v>
      </c>
    </row>
    <row r="200" spans="1:7">
      <c r="A200" s="19" t="s">
        <v>14</v>
      </c>
      <c r="B200" s="9" t="s">
        <v>30</v>
      </c>
      <c r="C200" s="9" t="s">
        <v>31</v>
      </c>
      <c r="D200" s="9" t="s">
        <v>12</v>
      </c>
      <c r="E200" s="9">
        <v>119</v>
      </c>
      <c r="F200" s="10">
        <v>888802</v>
      </c>
      <c r="G200" s="10">
        <v>1353256</v>
      </c>
    </row>
    <row r="201" spans="1:7">
      <c r="A201" s="19" t="s">
        <v>14</v>
      </c>
      <c r="B201" s="9" t="s">
        <v>30</v>
      </c>
      <c r="C201" s="9" t="s">
        <v>31</v>
      </c>
      <c r="D201" s="9" t="s">
        <v>13</v>
      </c>
      <c r="E201" s="9">
        <v>67</v>
      </c>
      <c r="F201" s="10">
        <v>494919</v>
      </c>
      <c r="G201" s="10">
        <v>518717</v>
      </c>
    </row>
    <row r="202" spans="1:7">
      <c r="A202" s="19" t="s">
        <v>15</v>
      </c>
      <c r="B202" s="9" t="s">
        <v>30</v>
      </c>
      <c r="C202" s="9" t="s">
        <v>31</v>
      </c>
      <c r="D202" s="9" t="s">
        <v>10</v>
      </c>
      <c r="E202" s="9">
        <v>181</v>
      </c>
      <c r="F202" s="10">
        <v>1424645</v>
      </c>
      <c r="G202" s="10">
        <v>1704264</v>
      </c>
    </row>
    <row r="203" spans="1:7">
      <c r="A203" s="19" t="s">
        <v>15</v>
      </c>
      <c r="B203" s="9" t="s">
        <v>30</v>
      </c>
      <c r="C203" s="9" t="s">
        <v>31</v>
      </c>
      <c r="D203" s="9" t="s">
        <v>11</v>
      </c>
      <c r="E203" s="9">
        <v>34</v>
      </c>
      <c r="F203" s="10">
        <v>255098</v>
      </c>
      <c r="G203" s="10">
        <v>355832</v>
      </c>
    </row>
    <row r="204" spans="1:7">
      <c r="A204" s="19" t="s">
        <v>15</v>
      </c>
      <c r="B204" s="9" t="s">
        <v>30</v>
      </c>
      <c r="C204" s="9" t="s">
        <v>31</v>
      </c>
      <c r="D204" s="9" t="s">
        <v>12</v>
      </c>
      <c r="E204" s="9">
        <v>111</v>
      </c>
      <c r="F204" s="10">
        <v>679446</v>
      </c>
      <c r="G204" s="10">
        <v>775585</v>
      </c>
    </row>
    <row r="205" spans="1:7">
      <c r="A205" s="19" t="s">
        <v>15</v>
      </c>
      <c r="B205" s="9" t="s">
        <v>30</v>
      </c>
      <c r="C205" s="9" t="s">
        <v>31</v>
      </c>
      <c r="D205" s="9" t="s">
        <v>13</v>
      </c>
      <c r="E205" s="9">
        <v>57</v>
      </c>
      <c r="F205" s="10">
        <v>437428</v>
      </c>
      <c r="G205" s="10">
        <v>542007</v>
      </c>
    </row>
    <row r="206" spans="1:7">
      <c r="A206" s="19" t="s">
        <v>16</v>
      </c>
      <c r="B206" s="9" t="s">
        <v>30</v>
      </c>
      <c r="C206" s="9" t="s">
        <v>31</v>
      </c>
      <c r="D206" s="9" t="s">
        <v>10</v>
      </c>
      <c r="E206" s="9">
        <v>235</v>
      </c>
      <c r="F206" s="10">
        <v>1174272</v>
      </c>
      <c r="G206" s="10">
        <v>1263107</v>
      </c>
    </row>
    <row r="207" spans="1:7">
      <c r="A207" s="19" t="s">
        <v>16</v>
      </c>
      <c r="B207" s="9" t="s">
        <v>30</v>
      </c>
      <c r="C207" s="9" t="s">
        <v>31</v>
      </c>
      <c r="D207" s="9" t="s">
        <v>11</v>
      </c>
      <c r="E207" s="9">
        <v>66</v>
      </c>
      <c r="F207" s="10">
        <v>303092</v>
      </c>
      <c r="G207" s="10">
        <v>450842</v>
      </c>
    </row>
    <row r="208" spans="1:7">
      <c r="A208" s="19" t="s">
        <v>16</v>
      </c>
      <c r="B208" s="9" t="s">
        <v>30</v>
      </c>
      <c r="C208" s="9" t="s">
        <v>31</v>
      </c>
      <c r="D208" s="9" t="s">
        <v>12</v>
      </c>
      <c r="E208" s="9">
        <v>67</v>
      </c>
      <c r="F208" s="10">
        <v>520009</v>
      </c>
      <c r="G208" s="10">
        <v>607599</v>
      </c>
    </row>
    <row r="209" spans="1:7">
      <c r="A209" s="19" t="s">
        <v>16</v>
      </c>
      <c r="B209" s="9" t="s">
        <v>30</v>
      </c>
      <c r="C209" s="9" t="s">
        <v>31</v>
      </c>
      <c r="D209" s="9" t="s">
        <v>13</v>
      </c>
      <c r="E209" s="9">
        <v>40</v>
      </c>
      <c r="F209" s="10">
        <v>251419</v>
      </c>
      <c r="G209" s="10">
        <v>351832</v>
      </c>
    </row>
    <row r="210" spans="1:7">
      <c r="A210" s="19" t="s">
        <v>17</v>
      </c>
      <c r="B210" s="9" t="s">
        <v>30</v>
      </c>
      <c r="C210" s="9" t="s">
        <v>31</v>
      </c>
      <c r="D210" s="9" t="s">
        <v>10</v>
      </c>
      <c r="E210" s="9">
        <v>298</v>
      </c>
      <c r="F210" s="10">
        <v>1906401</v>
      </c>
      <c r="G210" s="10">
        <v>1814419</v>
      </c>
    </row>
    <row r="211" spans="1:7">
      <c r="A211" s="19" t="s">
        <v>17</v>
      </c>
      <c r="B211" s="9" t="s">
        <v>30</v>
      </c>
      <c r="C211" s="9" t="s">
        <v>31</v>
      </c>
      <c r="D211" s="9" t="s">
        <v>11</v>
      </c>
      <c r="E211" s="9">
        <v>68</v>
      </c>
      <c r="F211" s="10">
        <v>311655</v>
      </c>
      <c r="G211" s="10">
        <v>469799</v>
      </c>
    </row>
    <row r="212" spans="1:7">
      <c r="A212" s="19" t="s">
        <v>17</v>
      </c>
      <c r="B212" s="9" t="s">
        <v>30</v>
      </c>
      <c r="C212" s="9" t="s">
        <v>31</v>
      </c>
      <c r="D212" s="9" t="s">
        <v>12</v>
      </c>
      <c r="E212" s="9">
        <v>137</v>
      </c>
      <c r="F212" s="10">
        <v>492094</v>
      </c>
      <c r="G212" s="10">
        <v>704734</v>
      </c>
    </row>
    <row r="213" spans="1:7">
      <c r="A213" s="19" t="s">
        <v>17</v>
      </c>
      <c r="B213" s="9" t="s">
        <v>30</v>
      </c>
      <c r="C213" s="9" t="s">
        <v>31</v>
      </c>
      <c r="D213" s="9" t="s">
        <v>13</v>
      </c>
      <c r="E213" s="9">
        <v>45</v>
      </c>
      <c r="F213" s="10">
        <v>402507</v>
      </c>
      <c r="G213" s="10">
        <v>543774</v>
      </c>
    </row>
    <row r="214" spans="1:7">
      <c r="A214" s="19" t="s">
        <v>18</v>
      </c>
      <c r="B214" s="9" t="s">
        <v>30</v>
      </c>
      <c r="C214" s="9" t="s">
        <v>31</v>
      </c>
      <c r="D214" s="9" t="s">
        <v>10</v>
      </c>
      <c r="E214" s="9">
        <v>348</v>
      </c>
      <c r="F214" s="10">
        <v>1460167</v>
      </c>
      <c r="G214" s="10">
        <v>1574702</v>
      </c>
    </row>
    <row r="215" spans="1:7">
      <c r="A215" s="19" t="s">
        <v>18</v>
      </c>
      <c r="B215" s="9" t="s">
        <v>30</v>
      </c>
      <c r="C215" s="9" t="s">
        <v>31</v>
      </c>
      <c r="D215" s="9" t="s">
        <v>11</v>
      </c>
      <c r="E215" s="9">
        <v>82</v>
      </c>
      <c r="F215" s="10">
        <v>686382</v>
      </c>
      <c r="G215" s="10">
        <v>821076</v>
      </c>
    </row>
    <row r="216" spans="1:7">
      <c r="A216" s="19" t="s">
        <v>18</v>
      </c>
      <c r="B216" s="9" t="s">
        <v>30</v>
      </c>
      <c r="C216" s="9" t="s">
        <v>31</v>
      </c>
      <c r="D216" s="9" t="s">
        <v>12</v>
      </c>
      <c r="E216" s="9">
        <v>141</v>
      </c>
      <c r="F216" s="10">
        <v>840224</v>
      </c>
      <c r="G216" s="10">
        <v>1016657</v>
      </c>
    </row>
    <row r="217" spans="1:7">
      <c r="A217" s="19" t="s">
        <v>18</v>
      </c>
      <c r="B217" s="9" t="s">
        <v>30</v>
      </c>
      <c r="C217" s="9" t="s">
        <v>31</v>
      </c>
      <c r="D217" s="9" t="s">
        <v>13</v>
      </c>
      <c r="E217" s="9">
        <v>25</v>
      </c>
      <c r="F217" s="10">
        <v>225476</v>
      </c>
      <c r="G217" s="10">
        <v>351400</v>
      </c>
    </row>
    <row r="218" spans="1:7">
      <c r="A218" s="19" t="s">
        <v>19</v>
      </c>
      <c r="B218" s="9" t="s">
        <v>30</v>
      </c>
      <c r="C218" s="9" t="s">
        <v>31</v>
      </c>
      <c r="D218" s="9" t="s">
        <v>10</v>
      </c>
      <c r="E218" s="9">
        <v>252</v>
      </c>
      <c r="F218" s="10">
        <v>1442961</v>
      </c>
      <c r="G218" s="10">
        <v>1468820</v>
      </c>
    </row>
    <row r="219" spans="1:7">
      <c r="A219" s="19" t="s">
        <v>19</v>
      </c>
      <c r="B219" s="9" t="s">
        <v>30</v>
      </c>
      <c r="C219" s="9" t="s">
        <v>31</v>
      </c>
      <c r="D219" s="9" t="s">
        <v>11</v>
      </c>
      <c r="E219" s="9">
        <v>81</v>
      </c>
      <c r="F219" s="10">
        <v>309045</v>
      </c>
      <c r="G219" s="10">
        <v>344449</v>
      </c>
    </row>
    <row r="220" spans="1:7">
      <c r="A220" s="19" t="s">
        <v>19</v>
      </c>
      <c r="B220" s="9" t="s">
        <v>30</v>
      </c>
      <c r="C220" s="9" t="s">
        <v>31</v>
      </c>
      <c r="D220" s="9" t="s">
        <v>12</v>
      </c>
      <c r="E220" s="9">
        <v>106</v>
      </c>
      <c r="F220" s="10">
        <v>550406</v>
      </c>
      <c r="G220" s="10">
        <v>634277</v>
      </c>
    </row>
    <row r="221" spans="1:7">
      <c r="A221" s="19" t="s">
        <v>19</v>
      </c>
      <c r="B221" s="9" t="s">
        <v>30</v>
      </c>
      <c r="C221" s="9" t="s">
        <v>31</v>
      </c>
      <c r="D221" s="9" t="s">
        <v>13</v>
      </c>
      <c r="E221" s="9">
        <v>69</v>
      </c>
      <c r="F221" s="10">
        <v>534798</v>
      </c>
      <c r="G221" s="10">
        <v>796654</v>
      </c>
    </row>
    <row r="222" spans="1:7">
      <c r="A222" s="19" t="s">
        <v>20</v>
      </c>
      <c r="B222" s="9" t="s">
        <v>30</v>
      </c>
      <c r="C222" s="9" t="s">
        <v>31</v>
      </c>
      <c r="D222" s="9" t="s">
        <v>10</v>
      </c>
      <c r="E222" s="9">
        <v>336</v>
      </c>
      <c r="F222" s="10">
        <v>1596945</v>
      </c>
      <c r="G222" s="10">
        <v>1648844</v>
      </c>
    </row>
    <row r="223" spans="1:7">
      <c r="A223" s="19" t="s">
        <v>20</v>
      </c>
      <c r="B223" s="9" t="s">
        <v>30</v>
      </c>
      <c r="C223" s="9" t="s">
        <v>31</v>
      </c>
      <c r="D223" s="9" t="s">
        <v>11</v>
      </c>
      <c r="E223" s="9">
        <v>84</v>
      </c>
      <c r="F223" s="10">
        <v>501945</v>
      </c>
      <c r="G223" s="10">
        <v>613543</v>
      </c>
    </row>
    <row r="224" spans="1:7">
      <c r="A224" s="19" t="s">
        <v>20</v>
      </c>
      <c r="B224" s="9" t="s">
        <v>30</v>
      </c>
      <c r="C224" s="9" t="s">
        <v>31</v>
      </c>
      <c r="D224" s="9" t="s">
        <v>12</v>
      </c>
      <c r="E224" s="9">
        <v>259</v>
      </c>
      <c r="F224" s="10">
        <v>1346304</v>
      </c>
      <c r="G224" s="10">
        <v>1274149</v>
      </c>
    </row>
    <row r="225" spans="1:7">
      <c r="A225" s="19" t="s">
        <v>20</v>
      </c>
      <c r="B225" s="9" t="s">
        <v>30</v>
      </c>
      <c r="C225" s="9" t="s">
        <v>31</v>
      </c>
      <c r="D225" s="9" t="s">
        <v>13</v>
      </c>
      <c r="E225" s="9">
        <v>69</v>
      </c>
      <c r="F225" s="10">
        <v>525579</v>
      </c>
      <c r="G225" s="10">
        <v>591565</v>
      </c>
    </row>
    <row r="226" spans="1:7">
      <c r="A226" s="19" t="s">
        <v>21</v>
      </c>
      <c r="B226" s="9" t="s">
        <v>30</v>
      </c>
      <c r="C226" s="9" t="s">
        <v>31</v>
      </c>
      <c r="D226" s="9" t="s">
        <v>10</v>
      </c>
      <c r="E226" s="9">
        <v>324</v>
      </c>
      <c r="F226" s="10">
        <v>1511608</v>
      </c>
      <c r="G226" s="10">
        <v>2126626</v>
      </c>
    </row>
    <row r="227" spans="1:7">
      <c r="A227" s="19" t="s">
        <v>21</v>
      </c>
      <c r="B227" s="9" t="s">
        <v>30</v>
      </c>
      <c r="C227" s="9" t="s">
        <v>31</v>
      </c>
      <c r="D227" s="9" t="s">
        <v>11</v>
      </c>
      <c r="E227" s="9">
        <v>107</v>
      </c>
      <c r="F227" s="10">
        <v>479283</v>
      </c>
      <c r="G227" s="10">
        <v>696256</v>
      </c>
    </row>
    <row r="228" spans="1:7">
      <c r="A228" s="19" t="s">
        <v>21</v>
      </c>
      <c r="B228" s="9" t="s">
        <v>30</v>
      </c>
      <c r="C228" s="9" t="s">
        <v>31</v>
      </c>
      <c r="D228" s="9" t="s">
        <v>12</v>
      </c>
      <c r="E228" s="9">
        <v>58</v>
      </c>
      <c r="F228" s="10">
        <v>351954</v>
      </c>
      <c r="G228" s="10">
        <v>567558</v>
      </c>
    </row>
    <row r="229" spans="1:7">
      <c r="A229" s="19" t="s">
        <v>21</v>
      </c>
      <c r="B229" s="9" t="s">
        <v>30</v>
      </c>
      <c r="C229" s="9" t="s">
        <v>31</v>
      </c>
      <c r="D229" s="9" t="s">
        <v>13</v>
      </c>
      <c r="E229" s="9">
        <v>90</v>
      </c>
      <c r="F229" s="10">
        <v>431123</v>
      </c>
      <c r="G229" s="10">
        <v>576596</v>
      </c>
    </row>
    <row r="230" spans="1:7">
      <c r="A230" s="19" t="s">
        <v>22</v>
      </c>
      <c r="B230" s="9" t="s">
        <v>30</v>
      </c>
      <c r="C230" s="9" t="s">
        <v>31</v>
      </c>
      <c r="D230" s="9" t="s">
        <v>10</v>
      </c>
      <c r="E230" s="9">
        <v>277</v>
      </c>
      <c r="F230" s="10">
        <v>1663970</v>
      </c>
      <c r="G230" s="10">
        <v>1789738</v>
      </c>
    </row>
    <row r="231" spans="1:7">
      <c r="A231" s="19" t="s">
        <v>22</v>
      </c>
      <c r="B231" s="9" t="s">
        <v>30</v>
      </c>
      <c r="C231" s="9" t="s">
        <v>31</v>
      </c>
      <c r="D231" s="9" t="s">
        <v>11</v>
      </c>
      <c r="E231" s="9">
        <v>93</v>
      </c>
      <c r="F231" s="10">
        <v>731949</v>
      </c>
      <c r="G231" s="10">
        <v>712430</v>
      </c>
    </row>
    <row r="232" spans="1:7">
      <c r="A232" s="19" t="s">
        <v>22</v>
      </c>
      <c r="B232" s="9" t="s">
        <v>30</v>
      </c>
      <c r="C232" s="9" t="s">
        <v>31</v>
      </c>
      <c r="D232" s="9" t="s">
        <v>12</v>
      </c>
      <c r="E232" s="9">
        <v>112</v>
      </c>
      <c r="F232" s="10">
        <v>968247</v>
      </c>
      <c r="G232" s="10">
        <v>1062552</v>
      </c>
    </row>
    <row r="233" spans="1:7">
      <c r="A233" s="19" t="s">
        <v>22</v>
      </c>
      <c r="B233" s="9" t="s">
        <v>30</v>
      </c>
      <c r="C233" s="9" t="s">
        <v>31</v>
      </c>
      <c r="D233" s="9" t="s">
        <v>13</v>
      </c>
      <c r="E233" s="9">
        <v>58</v>
      </c>
      <c r="F233" s="10">
        <v>415939</v>
      </c>
      <c r="G233" s="10">
        <v>483826</v>
      </c>
    </row>
    <row r="234" spans="1:7">
      <c r="A234" s="19" t="s">
        <v>23</v>
      </c>
      <c r="B234" s="9" t="s">
        <v>30</v>
      </c>
      <c r="C234" s="9" t="s">
        <v>31</v>
      </c>
      <c r="D234" s="9" t="s">
        <v>10</v>
      </c>
      <c r="E234" s="9">
        <v>707</v>
      </c>
      <c r="F234" s="10">
        <v>2753241</v>
      </c>
      <c r="G234" s="10">
        <v>2071776</v>
      </c>
    </row>
    <row r="235" spans="1:7">
      <c r="A235" s="19" t="s">
        <v>23</v>
      </c>
      <c r="B235" s="9" t="s">
        <v>30</v>
      </c>
      <c r="C235" s="9" t="s">
        <v>31</v>
      </c>
      <c r="D235" s="9" t="s">
        <v>11</v>
      </c>
      <c r="E235" s="9">
        <v>53</v>
      </c>
      <c r="F235" s="10">
        <v>407208</v>
      </c>
      <c r="G235" s="10">
        <v>399553</v>
      </c>
    </row>
    <row r="236" spans="1:7">
      <c r="A236" s="19" t="s">
        <v>23</v>
      </c>
      <c r="B236" s="9" t="s">
        <v>30</v>
      </c>
      <c r="C236" s="9" t="s">
        <v>31</v>
      </c>
      <c r="D236" s="9" t="s">
        <v>12</v>
      </c>
      <c r="E236" s="9">
        <v>243</v>
      </c>
      <c r="F236" s="10">
        <v>1020201</v>
      </c>
      <c r="G236" s="10">
        <v>1012286</v>
      </c>
    </row>
    <row r="237" spans="1:7">
      <c r="A237" s="19" t="s">
        <v>23</v>
      </c>
      <c r="B237" s="9" t="s">
        <v>30</v>
      </c>
      <c r="C237" s="9" t="s">
        <v>31</v>
      </c>
      <c r="D237" s="9" t="s">
        <v>13</v>
      </c>
      <c r="E237" s="9">
        <v>90</v>
      </c>
      <c r="F237" s="10">
        <v>787971</v>
      </c>
      <c r="G237" s="10">
        <v>628772</v>
      </c>
    </row>
    <row r="238" spans="1:7">
      <c r="A238" s="19" t="s">
        <v>24</v>
      </c>
      <c r="B238" s="9" t="s">
        <v>30</v>
      </c>
      <c r="C238" s="9" t="s">
        <v>31</v>
      </c>
      <c r="D238" s="9" t="s">
        <v>10</v>
      </c>
      <c r="E238" s="9">
        <v>430</v>
      </c>
      <c r="F238" s="10">
        <v>1696167</v>
      </c>
      <c r="G238" s="10">
        <v>1500661</v>
      </c>
    </row>
    <row r="239" spans="1:7">
      <c r="A239" s="19" t="s">
        <v>24</v>
      </c>
      <c r="B239" s="9" t="s">
        <v>30</v>
      </c>
      <c r="C239" s="9" t="s">
        <v>31</v>
      </c>
      <c r="D239" s="9" t="s">
        <v>11</v>
      </c>
      <c r="E239" s="9">
        <v>67</v>
      </c>
      <c r="F239" s="10">
        <v>354174</v>
      </c>
      <c r="G239" s="10">
        <v>323916</v>
      </c>
    </row>
    <row r="240" spans="1:7">
      <c r="A240" s="19" t="s">
        <v>24</v>
      </c>
      <c r="B240" s="9" t="s">
        <v>30</v>
      </c>
      <c r="C240" s="9" t="s">
        <v>31</v>
      </c>
      <c r="D240" s="9" t="s">
        <v>12</v>
      </c>
      <c r="E240" s="9">
        <v>73</v>
      </c>
      <c r="F240" s="10">
        <v>645598</v>
      </c>
      <c r="G240" s="10">
        <v>725331</v>
      </c>
    </row>
    <row r="241" spans="1:7">
      <c r="A241" s="19" t="s">
        <v>24</v>
      </c>
      <c r="B241" s="9" t="s">
        <v>30</v>
      </c>
      <c r="C241" s="9" t="s">
        <v>31</v>
      </c>
      <c r="D241" s="9" t="s">
        <v>13</v>
      </c>
      <c r="E241" s="9">
        <v>95</v>
      </c>
      <c r="F241" s="10">
        <v>836731</v>
      </c>
      <c r="G241" s="10">
        <v>709777</v>
      </c>
    </row>
    <row r="242" spans="1:7">
      <c r="A242" s="19" t="s">
        <v>7</v>
      </c>
      <c r="B242" s="9" t="s">
        <v>32</v>
      </c>
      <c r="C242" s="9" t="s">
        <v>33</v>
      </c>
      <c r="D242" s="9" t="s">
        <v>10</v>
      </c>
      <c r="E242" s="9">
        <v>488</v>
      </c>
      <c r="F242" s="10">
        <v>1816528</v>
      </c>
      <c r="G242" s="10">
        <v>1741194</v>
      </c>
    </row>
    <row r="243" spans="1:7">
      <c r="A243" s="19" t="s">
        <v>7</v>
      </c>
      <c r="B243" s="9" t="s">
        <v>32</v>
      </c>
      <c r="C243" s="9" t="s">
        <v>33</v>
      </c>
      <c r="D243" s="9" t="s">
        <v>11</v>
      </c>
      <c r="E243" s="9">
        <v>124</v>
      </c>
      <c r="F243" s="10">
        <v>881043</v>
      </c>
      <c r="G243" s="10">
        <v>753761</v>
      </c>
    </row>
    <row r="244" spans="1:7">
      <c r="A244" s="19" t="s">
        <v>7</v>
      </c>
      <c r="B244" s="9" t="s">
        <v>32</v>
      </c>
      <c r="C244" s="9" t="s">
        <v>33</v>
      </c>
      <c r="D244" s="9" t="s">
        <v>12</v>
      </c>
      <c r="E244" s="9">
        <v>194</v>
      </c>
      <c r="F244" s="10">
        <v>1308917</v>
      </c>
      <c r="G244" s="10">
        <v>1324465</v>
      </c>
    </row>
    <row r="245" spans="1:7">
      <c r="A245" s="19" t="s">
        <v>7</v>
      </c>
      <c r="B245" s="9" t="s">
        <v>32</v>
      </c>
      <c r="C245" s="9" t="s">
        <v>33</v>
      </c>
      <c r="D245" s="9" t="s">
        <v>13</v>
      </c>
      <c r="E245" s="9">
        <v>176</v>
      </c>
      <c r="F245" s="10">
        <v>708248</v>
      </c>
      <c r="G245" s="10">
        <v>599131</v>
      </c>
    </row>
    <row r="246" spans="1:7">
      <c r="A246" s="19" t="s">
        <v>14</v>
      </c>
      <c r="B246" s="9" t="s">
        <v>32</v>
      </c>
      <c r="C246" s="9" t="s">
        <v>33</v>
      </c>
      <c r="D246" s="9" t="s">
        <v>10</v>
      </c>
      <c r="E246" s="9">
        <v>194</v>
      </c>
      <c r="F246" s="10">
        <v>1394148</v>
      </c>
      <c r="G246" s="10">
        <v>1287145</v>
      </c>
    </row>
    <row r="247" spans="1:7">
      <c r="A247" s="19" t="s">
        <v>14</v>
      </c>
      <c r="B247" s="9" t="s">
        <v>32</v>
      </c>
      <c r="C247" s="9" t="s">
        <v>33</v>
      </c>
      <c r="D247" s="9" t="s">
        <v>11</v>
      </c>
      <c r="E247" s="9">
        <v>120</v>
      </c>
      <c r="F247" s="10">
        <v>880577</v>
      </c>
      <c r="G247" s="10">
        <v>814639</v>
      </c>
    </row>
    <row r="248" spans="1:7">
      <c r="A248" s="19" t="s">
        <v>14</v>
      </c>
      <c r="B248" s="9" t="s">
        <v>32</v>
      </c>
      <c r="C248" s="9" t="s">
        <v>33</v>
      </c>
      <c r="D248" s="9" t="s">
        <v>12</v>
      </c>
      <c r="E248" s="9">
        <v>139</v>
      </c>
      <c r="F248" s="10">
        <v>1112891</v>
      </c>
      <c r="G248" s="10">
        <v>759396</v>
      </c>
    </row>
    <row r="249" spans="1:7">
      <c r="A249" s="19" t="s">
        <v>14</v>
      </c>
      <c r="B249" s="9" t="s">
        <v>32</v>
      </c>
      <c r="C249" s="9" t="s">
        <v>33</v>
      </c>
      <c r="D249" s="9" t="s">
        <v>13</v>
      </c>
      <c r="E249" s="9">
        <v>122</v>
      </c>
      <c r="F249" s="10">
        <v>640446</v>
      </c>
      <c r="G249" s="10">
        <v>552553</v>
      </c>
    </row>
    <row r="250" spans="1:7">
      <c r="A250" s="19" t="s">
        <v>15</v>
      </c>
      <c r="B250" s="9" t="s">
        <v>32</v>
      </c>
      <c r="C250" s="9" t="s">
        <v>33</v>
      </c>
      <c r="D250" s="9" t="s">
        <v>10</v>
      </c>
      <c r="E250" s="9">
        <v>324</v>
      </c>
      <c r="F250" s="10">
        <v>1855215</v>
      </c>
      <c r="G250" s="10">
        <v>1252583</v>
      </c>
    </row>
    <row r="251" spans="1:7">
      <c r="A251" s="19" t="s">
        <v>15</v>
      </c>
      <c r="B251" s="9" t="s">
        <v>32</v>
      </c>
      <c r="C251" s="9" t="s">
        <v>33</v>
      </c>
      <c r="D251" s="9" t="s">
        <v>11</v>
      </c>
      <c r="E251" s="9">
        <v>127</v>
      </c>
      <c r="F251" s="10">
        <v>908459</v>
      </c>
      <c r="G251" s="10">
        <v>608757</v>
      </c>
    </row>
    <row r="252" spans="1:7">
      <c r="A252" s="19" t="s">
        <v>15</v>
      </c>
      <c r="B252" s="9" t="s">
        <v>32</v>
      </c>
      <c r="C252" s="9" t="s">
        <v>33</v>
      </c>
      <c r="D252" s="9" t="s">
        <v>12</v>
      </c>
      <c r="E252" s="9">
        <v>247</v>
      </c>
      <c r="F252" s="10">
        <v>1119867</v>
      </c>
      <c r="G252" s="10">
        <v>988334</v>
      </c>
    </row>
    <row r="253" spans="1:7">
      <c r="A253" s="19" t="s">
        <v>15</v>
      </c>
      <c r="B253" s="9" t="s">
        <v>32</v>
      </c>
      <c r="C253" s="9" t="s">
        <v>33</v>
      </c>
      <c r="D253" s="9" t="s">
        <v>13</v>
      </c>
      <c r="E253" s="9">
        <v>87</v>
      </c>
      <c r="F253" s="10">
        <v>605018</v>
      </c>
      <c r="G253" s="10">
        <v>448978</v>
      </c>
    </row>
    <row r="254" spans="1:7">
      <c r="A254" s="19" t="s">
        <v>16</v>
      </c>
      <c r="B254" s="9" t="s">
        <v>32</v>
      </c>
      <c r="C254" s="9" t="s">
        <v>33</v>
      </c>
      <c r="D254" s="9" t="s">
        <v>10</v>
      </c>
      <c r="E254" s="9">
        <v>286</v>
      </c>
      <c r="F254" s="10">
        <v>1867811</v>
      </c>
      <c r="G254" s="10">
        <v>1863986</v>
      </c>
    </row>
    <row r="255" spans="1:7">
      <c r="A255" s="19" t="s">
        <v>16</v>
      </c>
      <c r="B255" s="9" t="s">
        <v>32</v>
      </c>
      <c r="C255" s="9" t="s">
        <v>33</v>
      </c>
      <c r="D255" s="9" t="s">
        <v>11</v>
      </c>
      <c r="E255" s="9">
        <v>134</v>
      </c>
      <c r="F255" s="10">
        <v>983916</v>
      </c>
      <c r="G255" s="10">
        <v>856603</v>
      </c>
    </row>
    <row r="256" spans="1:7">
      <c r="A256" s="19" t="s">
        <v>16</v>
      </c>
      <c r="B256" s="9" t="s">
        <v>32</v>
      </c>
      <c r="C256" s="9" t="s">
        <v>33</v>
      </c>
      <c r="D256" s="9" t="s">
        <v>12</v>
      </c>
      <c r="E256" s="9">
        <v>131</v>
      </c>
      <c r="F256" s="10">
        <v>903544</v>
      </c>
      <c r="G256" s="10">
        <v>609283</v>
      </c>
    </row>
    <row r="257" spans="1:7">
      <c r="A257" s="19" t="s">
        <v>16</v>
      </c>
      <c r="B257" s="9" t="s">
        <v>32</v>
      </c>
      <c r="C257" s="9" t="s">
        <v>33</v>
      </c>
      <c r="D257" s="9" t="s">
        <v>13</v>
      </c>
      <c r="E257" s="9">
        <v>56</v>
      </c>
      <c r="F257" s="10">
        <v>371622</v>
      </c>
      <c r="G257" s="10">
        <v>381613</v>
      </c>
    </row>
    <row r="258" spans="1:7">
      <c r="A258" s="19" t="s">
        <v>17</v>
      </c>
      <c r="B258" s="9" t="s">
        <v>32</v>
      </c>
      <c r="C258" s="9" t="s">
        <v>33</v>
      </c>
      <c r="D258" s="9" t="s">
        <v>10</v>
      </c>
      <c r="E258" s="9">
        <v>163</v>
      </c>
      <c r="F258" s="10">
        <v>1467901</v>
      </c>
      <c r="G258" s="10">
        <v>1573151</v>
      </c>
    </row>
    <row r="259" spans="1:7">
      <c r="A259" s="19" t="s">
        <v>17</v>
      </c>
      <c r="B259" s="9" t="s">
        <v>32</v>
      </c>
      <c r="C259" s="9" t="s">
        <v>33</v>
      </c>
      <c r="D259" s="9" t="s">
        <v>11</v>
      </c>
      <c r="E259" s="9">
        <v>237</v>
      </c>
      <c r="F259" s="10">
        <v>986115</v>
      </c>
      <c r="G259" s="10">
        <v>847757</v>
      </c>
    </row>
    <row r="260" spans="1:7">
      <c r="A260" s="19" t="s">
        <v>17</v>
      </c>
      <c r="B260" s="9" t="s">
        <v>32</v>
      </c>
      <c r="C260" s="9" t="s">
        <v>33</v>
      </c>
      <c r="D260" s="9" t="s">
        <v>12</v>
      </c>
      <c r="E260" s="9">
        <v>199</v>
      </c>
      <c r="F260" s="10">
        <v>1481580</v>
      </c>
      <c r="G260" s="10">
        <v>1248928</v>
      </c>
    </row>
    <row r="261" spans="1:7">
      <c r="A261" s="19" t="s">
        <v>17</v>
      </c>
      <c r="B261" s="9" t="s">
        <v>32</v>
      </c>
      <c r="C261" s="9" t="s">
        <v>33</v>
      </c>
      <c r="D261" s="9" t="s">
        <v>13</v>
      </c>
      <c r="E261" s="9">
        <v>68</v>
      </c>
      <c r="F261" s="10">
        <v>554100</v>
      </c>
      <c r="G261" s="10">
        <v>529879</v>
      </c>
    </row>
    <row r="262" spans="1:7">
      <c r="A262" s="19" t="s">
        <v>18</v>
      </c>
      <c r="B262" s="9" t="s">
        <v>32</v>
      </c>
      <c r="C262" s="9" t="s">
        <v>33</v>
      </c>
      <c r="D262" s="9" t="s">
        <v>10</v>
      </c>
      <c r="E262" s="9">
        <v>341</v>
      </c>
      <c r="F262" s="10">
        <v>2231334</v>
      </c>
      <c r="G262" s="10">
        <v>2172342</v>
      </c>
    </row>
    <row r="263" spans="1:7">
      <c r="A263" s="19" t="s">
        <v>18</v>
      </c>
      <c r="B263" s="9" t="s">
        <v>32</v>
      </c>
      <c r="C263" s="9" t="s">
        <v>33</v>
      </c>
      <c r="D263" s="9" t="s">
        <v>11</v>
      </c>
      <c r="E263" s="9">
        <v>122</v>
      </c>
      <c r="F263" s="10">
        <v>769206</v>
      </c>
      <c r="G263" s="10">
        <v>530151</v>
      </c>
    </row>
    <row r="264" spans="1:7">
      <c r="A264" s="19" t="s">
        <v>18</v>
      </c>
      <c r="B264" s="9" t="s">
        <v>32</v>
      </c>
      <c r="C264" s="9" t="s">
        <v>33</v>
      </c>
      <c r="D264" s="9" t="s">
        <v>12</v>
      </c>
      <c r="E264" s="9">
        <v>363</v>
      </c>
      <c r="F264" s="10">
        <v>1827030</v>
      </c>
      <c r="G264" s="10">
        <v>1291393</v>
      </c>
    </row>
    <row r="265" spans="1:7">
      <c r="A265" s="19" t="s">
        <v>18</v>
      </c>
      <c r="B265" s="9" t="s">
        <v>32</v>
      </c>
      <c r="C265" s="9" t="s">
        <v>33</v>
      </c>
      <c r="D265" s="9" t="s">
        <v>13</v>
      </c>
      <c r="E265" s="9">
        <v>89</v>
      </c>
      <c r="F265" s="10">
        <v>776325</v>
      </c>
      <c r="G265" s="10">
        <v>684503</v>
      </c>
    </row>
    <row r="266" spans="1:7">
      <c r="A266" s="19" t="s">
        <v>19</v>
      </c>
      <c r="B266" s="9" t="s">
        <v>32</v>
      </c>
      <c r="C266" s="9" t="s">
        <v>33</v>
      </c>
      <c r="D266" s="9" t="s">
        <v>10</v>
      </c>
      <c r="E266" s="9">
        <v>414</v>
      </c>
      <c r="F266" s="10">
        <v>2096439</v>
      </c>
      <c r="G266" s="10">
        <v>1510832</v>
      </c>
    </row>
    <row r="267" spans="1:7">
      <c r="A267" s="19" t="s">
        <v>19</v>
      </c>
      <c r="B267" s="9" t="s">
        <v>32</v>
      </c>
      <c r="C267" s="9" t="s">
        <v>33</v>
      </c>
      <c r="D267" s="9" t="s">
        <v>11</v>
      </c>
      <c r="E267" s="9">
        <v>66</v>
      </c>
      <c r="F267" s="10">
        <v>594902</v>
      </c>
      <c r="G267" s="10">
        <v>479133</v>
      </c>
    </row>
    <row r="268" spans="1:7">
      <c r="A268" s="19" t="s">
        <v>19</v>
      </c>
      <c r="B268" s="9" t="s">
        <v>32</v>
      </c>
      <c r="C268" s="9" t="s">
        <v>33</v>
      </c>
      <c r="D268" s="9" t="s">
        <v>12</v>
      </c>
      <c r="E268" s="9">
        <v>140</v>
      </c>
      <c r="F268" s="10">
        <v>910298</v>
      </c>
      <c r="G268" s="10">
        <v>940676</v>
      </c>
    </row>
    <row r="269" spans="1:7">
      <c r="A269" s="19" t="s">
        <v>19</v>
      </c>
      <c r="B269" s="9" t="s">
        <v>32</v>
      </c>
      <c r="C269" s="9" t="s">
        <v>33</v>
      </c>
      <c r="D269" s="9" t="s">
        <v>13</v>
      </c>
      <c r="E269" s="9">
        <v>82</v>
      </c>
      <c r="F269" s="10">
        <v>536463</v>
      </c>
      <c r="G269" s="10">
        <v>439818</v>
      </c>
    </row>
    <row r="270" spans="1:7">
      <c r="A270" s="19" t="s">
        <v>20</v>
      </c>
      <c r="B270" s="9" t="s">
        <v>32</v>
      </c>
      <c r="C270" s="9" t="s">
        <v>33</v>
      </c>
      <c r="D270" s="9" t="s">
        <v>10</v>
      </c>
      <c r="E270" s="9">
        <v>340</v>
      </c>
      <c r="F270" s="10">
        <v>1546625</v>
      </c>
      <c r="G270" s="10">
        <v>1437482</v>
      </c>
    </row>
    <row r="271" spans="1:7">
      <c r="A271" s="19" t="s">
        <v>20</v>
      </c>
      <c r="B271" s="9" t="s">
        <v>32</v>
      </c>
      <c r="C271" s="9" t="s">
        <v>33</v>
      </c>
      <c r="D271" s="9" t="s">
        <v>11</v>
      </c>
      <c r="E271" s="9">
        <v>185</v>
      </c>
      <c r="F271" s="10">
        <v>885307</v>
      </c>
      <c r="G271" s="10">
        <v>718499</v>
      </c>
    </row>
    <row r="272" spans="1:7">
      <c r="A272" s="19" t="s">
        <v>20</v>
      </c>
      <c r="B272" s="9" t="s">
        <v>32</v>
      </c>
      <c r="C272" s="9" t="s">
        <v>33</v>
      </c>
      <c r="D272" s="9" t="s">
        <v>12</v>
      </c>
      <c r="E272" s="9">
        <v>142</v>
      </c>
      <c r="F272" s="10">
        <v>1080737</v>
      </c>
      <c r="G272" s="10">
        <v>1197990</v>
      </c>
    </row>
    <row r="273" spans="1:7">
      <c r="A273" s="19" t="s">
        <v>20</v>
      </c>
      <c r="B273" s="9" t="s">
        <v>32</v>
      </c>
      <c r="C273" s="9" t="s">
        <v>33</v>
      </c>
      <c r="D273" s="9" t="s">
        <v>13</v>
      </c>
      <c r="E273" s="9">
        <v>156</v>
      </c>
      <c r="F273" s="10">
        <v>881475</v>
      </c>
      <c r="G273" s="10">
        <v>637875</v>
      </c>
    </row>
    <row r="274" spans="1:7">
      <c r="A274" s="19" t="s">
        <v>21</v>
      </c>
      <c r="B274" s="9" t="s">
        <v>32</v>
      </c>
      <c r="C274" s="9" t="s">
        <v>33</v>
      </c>
      <c r="D274" s="9" t="s">
        <v>10</v>
      </c>
      <c r="E274" s="9">
        <v>269</v>
      </c>
      <c r="F274" s="10">
        <v>2399612</v>
      </c>
      <c r="G274" s="10">
        <v>1729164</v>
      </c>
    </row>
    <row r="275" spans="1:7">
      <c r="A275" s="19" t="s">
        <v>21</v>
      </c>
      <c r="B275" s="9" t="s">
        <v>32</v>
      </c>
      <c r="C275" s="9" t="s">
        <v>33</v>
      </c>
      <c r="D275" s="9" t="s">
        <v>11</v>
      </c>
      <c r="E275" s="9">
        <v>85</v>
      </c>
      <c r="F275" s="10">
        <v>536273</v>
      </c>
      <c r="G275" s="10">
        <v>597197</v>
      </c>
    </row>
    <row r="276" spans="1:7">
      <c r="A276" s="19" t="s">
        <v>21</v>
      </c>
      <c r="B276" s="9" t="s">
        <v>32</v>
      </c>
      <c r="C276" s="9" t="s">
        <v>33</v>
      </c>
      <c r="D276" s="9" t="s">
        <v>12</v>
      </c>
      <c r="E276" s="9">
        <v>176</v>
      </c>
      <c r="F276" s="10">
        <v>1462517</v>
      </c>
      <c r="G276" s="10">
        <v>1031162</v>
      </c>
    </row>
    <row r="277" spans="1:7">
      <c r="A277" s="19" t="s">
        <v>21</v>
      </c>
      <c r="B277" s="9" t="s">
        <v>32</v>
      </c>
      <c r="C277" s="9" t="s">
        <v>33</v>
      </c>
      <c r="D277" s="9" t="s">
        <v>13</v>
      </c>
      <c r="E277" s="9">
        <v>98</v>
      </c>
      <c r="F277" s="10">
        <v>592330</v>
      </c>
      <c r="G277" s="10">
        <v>492168</v>
      </c>
    </row>
    <row r="278" spans="1:7">
      <c r="A278" s="19" t="s">
        <v>22</v>
      </c>
      <c r="B278" s="9" t="s">
        <v>32</v>
      </c>
      <c r="C278" s="9" t="s">
        <v>33</v>
      </c>
      <c r="D278" s="9" t="s">
        <v>10</v>
      </c>
      <c r="E278" s="9">
        <v>288</v>
      </c>
      <c r="F278" s="10">
        <v>2048795</v>
      </c>
      <c r="G278" s="10">
        <v>1811421</v>
      </c>
    </row>
    <row r="279" spans="1:7">
      <c r="A279" s="19" t="s">
        <v>22</v>
      </c>
      <c r="B279" s="9" t="s">
        <v>32</v>
      </c>
      <c r="C279" s="9" t="s">
        <v>33</v>
      </c>
      <c r="D279" s="9" t="s">
        <v>11</v>
      </c>
      <c r="E279" s="9">
        <v>51</v>
      </c>
      <c r="F279" s="10">
        <v>458666</v>
      </c>
      <c r="G279" s="10">
        <v>392616</v>
      </c>
    </row>
    <row r="280" spans="1:7">
      <c r="A280" s="19" t="s">
        <v>22</v>
      </c>
      <c r="B280" s="9" t="s">
        <v>32</v>
      </c>
      <c r="C280" s="9" t="s">
        <v>33</v>
      </c>
      <c r="D280" s="9" t="s">
        <v>12</v>
      </c>
      <c r="E280" s="9">
        <v>148</v>
      </c>
      <c r="F280" s="10">
        <v>1052326</v>
      </c>
      <c r="G280" s="10">
        <v>804705</v>
      </c>
    </row>
    <row r="281" spans="1:7">
      <c r="A281" s="19" t="s">
        <v>22</v>
      </c>
      <c r="B281" s="9" t="s">
        <v>32</v>
      </c>
      <c r="C281" s="9" t="s">
        <v>33</v>
      </c>
      <c r="D281" s="9" t="s">
        <v>13</v>
      </c>
      <c r="E281" s="9">
        <v>122</v>
      </c>
      <c r="F281" s="10">
        <v>1011226</v>
      </c>
      <c r="G281" s="10">
        <v>718470</v>
      </c>
    </row>
    <row r="282" spans="1:7">
      <c r="A282" s="19" t="s">
        <v>23</v>
      </c>
      <c r="B282" s="9" t="s">
        <v>32</v>
      </c>
      <c r="C282" s="9" t="s">
        <v>33</v>
      </c>
      <c r="D282" s="9" t="s">
        <v>10</v>
      </c>
      <c r="E282" s="9">
        <v>258</v>
      </c>
      <c r="F282" s="10">
        <v>1929001</v>
      </c>
      <c r="G282" s="10">
        <v>1332013</v>
      </c>
    </row>
    <row r="283" spans="1:7">
      <c r="A283" s="19" t="s">
        <v>23</v>
      </c>
      <c r="B283" s="9" t="s">
        <v>32</v>
      </c>
      <c r="C283" s="9" t="s">
        <v>33</v>
      </c>
      <c r="D283" s="9" t="s">
        <v>11</v>
      </c>
      <c r="E283" s="9">
        <v>391</v>
      </c>
      <c r="F283" s="10">
        <v>1448560</v>
      </c>
      <c r="G283" s="10">
        <v>755641</v>
      </c>
    </row>
    <row r="284" spans="1:7">
      <c r="A284" s="19" t="s">
        <v>23</v>
      </c>
      <c r="B284" s="9" t="s">
        <v>32</v>
      </c>
      <c r="C284" s="9" t="s">
        <v>33</v>
      </c>
      <c r="D284" s="9" t="s">
        <v>12</v>
      </c>
      <c r="E284" s="9">
        <v>112</v>
      </c>
      <c r="F284" s="10">
        <v>962263</v>
      </c>
      <c r="G284" s="10">
        <v>561578</v>
      </c>
    </row>
    <row r="285" spans="1:7">
      <c r="A285" s="19" t="s">
        <v>23</v>
      </c>
      <c r="B285" s="9" t="s">
        <v>32</v>
      </c>
      <c r="C285" s="9" t="s">
        <v>33</v>
      </c>
      <c r="D285" s="9" t="s">
        <v>13</v>
      </c>
      <c r="E285" s="9">
        <v>245</v>
      </c>
      <c r="F285" s="10">
        <v>1446255</v>
      </c>
      <c r="G285" s="10">
        <v>798584</v>
      </c>
    </row>
    <row r="286" spans="1:7">
      <c r="A286" s="19" t="s">
        <v>24</v>
      </c>
      <c r="B286" s="9" t="s">
        <v>32</v>
      </c>
      <c r="C286" s="9" t="s">
        <v>33</v>
      </c>
      <c r="D286" s="9" t="s">
        <v>10</v>
      </c>
      <c r="E286" s="9">
        <v>193</v>
      </c>
      <c r="F286" s="10">
        <v>1609000</v>
      </c>
      <c r="G286" s="10">
        <v>937820</v>
      </c>
    </row>
    <row r="287" spans="1:7">
      <c r="A287" s="19" t="s">
        <v>24</v>
      </c>
      <c r="B287" s="9" t="s">
        <v>32</v>
      </c>
      <c r="C287" s="9" t="s">
        <v>33</v>
      </c>
      <c r="D287" s="9" t="s">
        <v>11</v>
      </c>
      <c r="E287" s="9">
        <v>118</v>
      </c>
      <c r="F287" s="10">
        <v>1000211</v>
      </c>
      <c r="G287" s="10">
        <v>566207</v>
      </c>
    </row>
    <row r="288" spans="1:7">
      <c r="A288" s="19" t="s">
        <v>24</v>
      </c>
      <c r="B288" s="9" t="s">
        <v>32</v>
      </c>
      <c r="C288" s="9" t="s">
        <v>33</v>
      </c>
      <c r="D288" s="9" t="s">
        <v>12</v>
      </c>
      <c r="E288" s="9">
        <v>196</v>
      </c>
      <c r="F288" s="10">
        <v>1003023</v>
      </c>
      <c r="G288" s="10">
        <v>541391</v>
      </c>
    </row>
    <row r="289" spans="1:7">
      <c r="A289" s="19" t="s">
        <v>24</v>
      </c>
      <c r="B289" s="9" t="s">
        <v>32</v>
      </c>
      <c r="C289" s="9" t="s">
        <v>33</v>
      </c>
      <c r="D289" s="9" t="s">
        <v>13</v>
      </c>
      <c r="E289" s="9">
        <v>92</v>
      </c>
      <c r="F289" s="10">
        <v>594767</v>
      </c>
      <c r="G289" s="10">
        <v>456162</v>
      </c>
    </row>
  </sheetData>
  <autoFilter xmlns:etc="http://www.wps.cn/officeDocument/2017/etCustomData" ref="A1:G289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B14" sqref="B14"/>
    </sheetView>
  </sheetViews>
  <sheetFormatPr defaultColWidth="8.67592592592593" defaultRowHeight="14.4" outlineLevelCol="6"/>
  <cols>
    <col min="1" max="1" width="66" customWidth="1"/>
    <col min="2" max="2" width="13.1111111111111" customWidth="1"/>
    <col min="3" max="3" width="17.7777777777778" customWidth="1"/>
    <col min="4" max="4" width="13.1111111111111" customWidth="1"/>
    <col min="5" max="5" width="15.6666666666667" customWidth="1"/>
    <col min="6" max="6" width="11.7777777777778" customWidth="1"/>
    <col min="7" max="7" width="12.7777777777778" customWidth="1"/>
  </cols>
  <sheetData>
    <row r="1" ht="21" spans="1:1">
      <c r="A1" s="7" t="s">
        <v>34</v>
      </c>
    </row>
    <row r="2" spans="1:1">
      <c r="A2" s="2" t="s">
        <v>35</v>
      </c>
    </row>
    <row r="4" ht="27.6" spans="1:7">
      <c r="A4" s="8" t="s">
        <v>1</v>
      </c>
      <c r="B4" s="8" t="s">
        <v>2</v>
      </c>
      <c r="C4" s="8" t="s">
        <v>36</v>
      </c>
      <c r="D4" s="8" t="s">
        <v>37</v>
      </c>
      <c r="E4" s="8" t="s">
        <v>38</v>
      </c>
      <c r="F4" s="8" t="s">
        <v>39</v>
      </c>
      <c r="G4" s="8" t="s">
        <v>40</v>
      </c>
    </row>
    <row r="5" spans="1:7">
      <c r="A5" s="9" t="s">
        <v>28</v>
      </c>
      <c r="B5" s="9" t="s">
        <v>29</v>
      </c>
      <c r="C5" s="10">
        <f>SUMIFS('Raw Data'!$F$2:$F$289,'Raw Data'!$B$2:$B$289,$A5)</f>
        <v>33604598</v>
      </c>
      <c r="D5" s="10">
        <f>SUMIFS('Raw Data'!$G$2:$G$289,'Raw Data'!$B$2:$B$289,$A5)</f>
        <v>42587943</v>
      </c>
      <c r="E5" s="11">
        <f t="shared" ref="E5:E10" si="0">C5-D5</f>
        <v>-8983345</v>
      </c>
      <c r="F5" s="12">
        <f t="shared" ref="F5:F10" si="1">IFERROR(E5/D5,0)</f>
        <v>-0.210936344119743</v>
      </c>
      <c r="G5" s="13" t="str">
        <f t="shared" ref="G5:G10" si="2">IF(F5&gt;=0,"Above Target","Below Target")</f>
        <v>Below Target</v>
      </c>
    </row>
    <row r="6" spans="1:7">
      <c r="A6" s="9" t="s">
        <v>32</v>
      </c>
      <c r="B6" s="9" t="s">
        <v>33</v>
      </c>
      <c r="C6" s="10">
        <f>SUMIFS('Raw Data'!$F$2:$F$289,'Raw Data'!$B$2:$B$289,$A6)</f>
        <v>55538912</v>
      </c>
      <c r="D6" s="10">
        <f>SUMIFS('Raw Data'!$G$2:$G$289,'Raw Data'!$B$2:$B$289,$A6)</f>
        <v>44609129</v>
      </c>
      <c r="E6" s="11">
        <f t="shared" si="0"/>
        <v>10929783</v>
      </c>
      <c r="F6" s="12">
        <f t="shared" si="1"/>
        <v>0.245012248501871</v>
      </c>
      <c r="G6" s="13" t="str">
        <f t="shared" si="2"/>
        <v>Above Target</v>
      </c>
    </row>
    <row r="7" spans="1:7">
      <c r="A7" s="9" t="s">
        <v>25</v>
      </c>
      <c r="B7" s="9" t="s">
        <v>9</v>
      </c>
      <c r="C7" s="10">
        <f>SUMIFS('Raw Data'!$F$2:$F$289,'Raw Data'!$B$2:$B$289,$A7)</f>
        <v>37735917</v>
      </c>
      <c r="D7" s="10">
        <f>SUMIFS('Raw Data'!$G$2:$G$289,'Raw Data'!$B$2:$B$289,$A7)</f>
        <v>43100915</v>
      </c>
      <c r="E7" s="11">
        <f t="shared" si="0"/>
        <v>-5364998</v>
      </c>
      <c r="F7" s="12">
        <f t="shared" si="1"/>
        <v>-0.124475269260525</v>
      </c>
      <c r="G7" s="13" t="str">
        <f t="shared" si="2"/>
        <v>Below Target</v>
      </c>
    </row>
    <row r="8" spans="1:7">
      <c r="A8" s="9" t="s">
        <v>30</v>
      </c>
      <c r="B8" s="9" t="s">
        <v>31</v>
      </c>
      <c r="C8" s="10">
        <f>SUMIFS('Raw Data'!$F$2:$F$289,'Raw Data'!$B$2:$B$289,$A8)</f>
        <v>40521165</v>
      </c>
      <c r="D8" s="10">
        <f>SUMIFS('Raw Data'!$G$2:$G$289,'Raw Data'!$B$2:$B$289,$A8)</f>
        <v>45205930</v>
      </c>
      <c r="E8" s="11">
        <f t="shared" si="0"/>
        <v>-4684765</v>
      </c>
      <c r="F8" s="12">
        <f t="shared" si="1"/>
        <v>-0.103631647440944</v>
      </c>
      <c r="G8" s="13" t="str">
        <f t="shared" si="2"/>
        <v>Below Target</v>
      </c>
    </row>
    <row r="9" spans="1:7">
      <c r="A9" s="9" t="s">
        <v>8</v>
      </c>
      <c r="B9" s="9" t="s">
        <v>9</v>
      </c>
      <c r="C9" s="10">
        <f>SUMIFS('Raw Data'!$F$2:$F$289,'Raw Data'!$B$2:$B$289,$A9)</f>
        <v>43680421</v>
      </c>
      <c r="D9" s="10">
        <f>SUMIFS('Raw Data'!$G$2:$G$289,'Raw Data'!$B$2:$B$289,$A9)</f>
        <v>39713785</v>
      </c>
      <c r="E9" s="11">
        <f t="shared" si="0"/>
        <v>3966636</v>
      </c>
      <c r="F9" s="12">
        <f t="shared" si="1"/>
        <v>0.0998805830267752</v>
      </c>
      <c r="G9" s="13" t="str">
        <f t="shared" si="2"/>
        <v>Above Target</v>
      </c>
    </row>
    <row r="10" spans="1:7">
      <c r="A10" s="9" t="s">
        <v>26</v>
      </c>
      <c r="B10" s="9" t="s">
        <v>27</v>
      </c>
      <c r="C10" s="10">
        <f>SUMIFS('Raw Data'!$F$2:$F$289,'Raw Data'!$B$2:$B$289,$A10)</f>
        <v>34205734</v>
      </c>
      <c r="D10" s="10">
        <f>SUMIFS('Raw Data'!$G$2:$G$289,'Raw Data'!$B$2:$B$289,$A10)</f>
        <v>44087613</v>
      </c>
      <c r="E10" s="11">
        <f t="shared" si="0"/>
        <v>-9881879</v>
      </c>
      <c r="F10" s="12">
        <f t="shared" si="1"/>
        <v>-0.224141846826681</v>
      </c>
      <c r="G10" s="13" t="str">
        <f t="shared" si="2"/>
        <v>Below Target</v>
      </c>
    </row>
    <row r="12" spans="1:6">
      <c r="A12" s="14" t="s">
        <v>41</v>
      </c>
      <c r="C12" s="15">
        <f>SUM(C5:C10)</f>
        <v>245286747</v>
      </c>
      <c r="D12" s="15">
        <f>SUM(D5:D10)</f>
        <v>259305315</v>
      </c>
      <c r="E12" s="16">
        <f>C12-D12</f>
        <v>-14018568</v>
      </c>
      <c r="F12" s="17">
        <f>IFERROR(E12/D12,0)</f>
        <v>-0.0540620156590311</v>
      </c>
    </row>
  </sheetData>
  <conditionalFormatting sqref="F5:F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10">
    <cfRule type="cellIs" dxfId="0" priority="3" operator="equal">
      <formula>"Below Target"</formula>
    </cfRule>
    <cfRule type="cellIs" dxfId="1" priority="4" operator="equal">
      <formula>"Above Target"</formula>
    </cfRule>
  </conditionalFormatting>
  <pageMargins left="0.75" right="0.75" top="1" bottom="1" header="0.511811023622047" footer="0.511811023622047"/>
  <pageSetup paperSize="9" orientation="portrait" horizontalDpi="300" verticalDpi="30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7"/>
  <sheetViews>
    <sheetView showGridLines="0" tabSelected="1" workbookViewId="0">
      <selection activeCell="G6" sqref="G6"/>
    </sheetView>
  </sheetViews>
  <sheetFormatPr defaultColWidth="8.67592592592593" defaultRowHeight="14.4" outlineLevelRow="6"/>
  <cols>
    <col min="1" max="1" width="3" customWidth="1"/>
    <col min="2" max="2" width="26" customWidth="1"/>
    <col min="3" max="12" width="14" customWidth="1"/>
  </cols>
  <sheetData>
    <row r="2" ht="24.6" spans="2:2">
      <c r="B2" s="1" t="s">
        <v>42</v>
      </c>
    </row>
    <row r="3" spans="2:2">
      <c r="B3" s="2" t="s">
        <v>43</v>
      </c>
    </row>
    <row r="5" spans="2:12">
      <c r="B5" s="3" t="s">
        <v>36</v>
      </c>
      <c r="C5" s="3"/>
      <c r="E5" s="3" t="s">
        <v>37</v>
      </c>
      <c r="F5" s="3"/>
      <c r="H5" s="3" t="s">
        <v>44</v>
      </c>
      <c r="I5" s="3"/>
      <c r="K5" s="3" t="s">
        <v>45</v>
      </c>
      <c r="L5" s="3"/>
    </row>
    <row r="6" spans="2:12">
      <c r="B6" s="4">
        <f>'Store Summary'!C12</f>
        <v>245286747</v>
      </c>
      <c r="C6" s="4"/>
      <c r="E6" s="4">
        <f>'Store Summary'!D12</f>
        <v>259305315</v>
      </c>
      <c r="F6" s="4"/>
      <c r="H6" s="5">
        <f>'Store Summary'!F12</f>
        <v>-0.0540620156590311</v>
      </c>
      <c r="I6" s="5"/>
      <c r="K6" s="6" t="str">
        <f>INDEX('Store Summary'!A5:A10,MATCH(MAX('Store Summary'!F5:F10),'Store Summary'!F5:F10,0))</f>
        <v>Enugu</v>
      </c>
      <c r="L6" s="6"/>
    </row>
    <row r="7" spans="2:12">
      <c r="B7" s="4"/>
      <c r="C7" s="4"/>
      <c r="E7" s="4"/>
      <c r="F7" s="4"/>
      <c r="H7" s="5"/>
      <c r="I7" s="5"/>
      <c r="K7" s="6"/>
      <c r="L7" s="6"/>
    </row>
  </sheetData>
  <mergeCells count="8">
    <mergeCell ref="B5:C5"/>
    <mergeCell ref="E5:F5"/>
    <mergeCell ref="H5:I5"/>
    <mergeCell ref="K5:L5"/>
    <mergeCell ref="B6:C7"/>
    <mergeCell ref="H6:I7"/>
    <mergeCell ref="E6:F7"/>
    <mergeCell ref="K6:L7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Store Summary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Azeez Akande</cp:lastModifiedBy>
  <cp:revision>1</cp:revision>
  <dcterms:created xsi:type="dcterms:W3CDTF">2026-09-15T05:37:00Z</dcterms:created>
  <dcterms:modified xsi:type="dcterms:W3CDTF">2026-09-15T14:42:53Z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EA2D073F8E504B248EA01E6B8AFE0AC2_12</vt:lpwstr>
  </property>
  <property fmtid="{D5CDD505-2E9C-101B-9397-08002B2CF9AE}" pid="3" name="KSOProductBuildVer">
    <vt:lpwstr>2057-12.2.0.23202</vt:lpwstr>
  </property>
</Properties>
</file>